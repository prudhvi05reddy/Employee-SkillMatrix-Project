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adityagroup.sharepoint.com/sites/Team_5/Employee_Skill/"/>
    </mc:Choice>
  </mc:AlternateContent>
  <xr:revisionPtr revIDLastSave="2041" documentId="120_S{3C60B417-0596-587C-8FA4-9653DF4055F7}" xr6:coauthVersionLast="47" xr6:coauthVersionMax="47" xr10:uidLastSave="{F9A8BDE0-D446-4958-883A-4D8B5FF193AC}"/>
  <bookViews>
    <workbookView xWindow="-120" yWindow="-120" windowWidth="29040" windowHeight="15720" activeTab="2" xr2:uid="{0C571E36-557F-4385-ABA1-542EB0AA5906}"/>
  </bookViews>
  <sheets>
    <sheet name="Updated_Employee_Skill_Matrix_1" sheetId="2" r:id="rId1"/>
    <sheet name="pivot_table_1" sheetId="1" r:id="rId2"/>
    <sheet name="Pivot_table" sheetId="5" r:id="rId3"/>
    <sheet name="pivot_table_2" sheetId="3" r:id="rId4"/>
    <sheet name="Pivot_table_3" sheetId="7" r:id="rId5"/>
    <sheet name="Dashboard_1" sheetId="4" r:id="rId6"/>
  </sheets>
  <definedNames>
    <definedName name="ExternalData_1" localSheetId="0" hidden="1">Updated_Employee_Skill_Matrix_1!$A$1:$R$54</definedName>
  </definedNames>
  <calcPr calcId="191028"/>
  <pivotCaches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5" l="1"/>
  <c r="H23" i="3" a="1"/>
  <c r="H23" i="3" s="1"/>
  <c r="S2" i="2"/>
  <c r="T2" i="2"/>
  <c r="U2" i="2"/>
  <c r="S3" i="2"/>
  <c r="T3" i="2"/>
  <c r="U3" i="2"/>
  <c r="S4" i="2"/>
  <c r="T4" i="2"/>
  <c r="U4" i="2"/>
  <c r="S5" i="2"/>
  <c r="T5" i="2"/>
  <c r="U5" i="2"/>
  <c r="S6" i="2"/>
  <c r="T6" i="2"/>
  <c r="U6" i="2"/>
  <c r="S7" i="2"/>
  <c r="T7" i="2"/>
  <c r="U7" i="2"/>
  <c r="S8" i="2"/>
  <c r="T8" i="2"/>
  <c r="U8" i="2"/>
  <c r="S9" i="2"/>
  <c r="T9" i="2"/>
  <c r="U9" i="2"/>
  <c r="S10" i="2"/>
  <c r="T10" i="2"/>
  <c r="U10" i="2"/>
  <c r="S11" i="2"/>
  <c r="T11" i="2"/>
  <c r="U11" i="2"/>
  <c r="S12" i="2"/>
  <c r="T12" i="2"/>
  <c r="U12" i="2"/>
  <c r="S13" i="2"/>
  <c r="T13" i="2"/>
  <c r="U13" i="2"/>
  <c r="S14" i="2"/>
  <c r="T14" i="2"/>
  <c r="U14" i="2"/>
  <c r="S15" i="2"/>
  <c r="T15" i="2"/>
  <c r="U15" i="2"/>
  <c r="S16" i="2"/>
  <c r="T16" i="2"/>
  <c r="U16" i="2"/>
  <c r="S17" i="2"/>
  <c r="T17" i="2"/>
  <c r="U17" i="2"/>
  <c r="S18" i="2"/>
  <c r="T18" i="2"/>
  <c r="U18" i="2"/>
  <c r="S19" i="2"/>
  <c r="T19" i="2"/>
  <c r="U19" i="2"/>
  <c r="S20" i="2"/>
  <c r="T20" i="2"/>
  <c r="U20" i="2"/>
  <c r="S21" i="2"/>
  <c r="T21" i="2"/>
  <c r="U21" i="2"/>
  <c r="S22" i="2"/>
  <c r="T22" i="2"/>
  <c r="U22" i="2"/>
  <c r="S23" i="2"/>
  <c r="T23" i="2"/>
  <c r="U23" i="2"/>
  <c r="S24" i="2"/>
  <c r="T24" i="2"/>
  <c r="U24" i="2"/>
  <c r="S25" i="2"/>
  <c r="T25" i="2"/>
  <c r="U25" i="2"/>
  <c r="S26" i="2"/>
  <c r="T26" i="2"/>
  <c r="U26" i="2"/>
  <c r="S27" i="2"/>
  <c r="T27" i="2"/>
  <c r="U27" i="2"/>
  <c r="S28" i="2"/>
  <c r="T28" i="2"/>
  <c r="U28" i="2"/>
  <c r="S29" i="2"/>
  <c r="T29" i="2"/>
  <c r="U29" i="2"/>
  <c r="S30" i="2"/>
  <c r="T30" i="2"/>
  <c r="U30" i="2"/>
  <c r="S31" i="2"/>
  <c r="T31" i="2"/>
  <c r="U31" i="2"/>
  <c r="S32" i="2"/>
  <c r="T32" i="2"/>
  <c r="U32" i="2"/>
  <c r="S33" i="2"/>
  <c r="T33" i="2"/>
  <c r="U33" i="2"/>
  <c r="S34" i="2"/>
  <c r="T34" i="2"/>
  <c r="U34" i="2"/>
  <c r="S35" i="2"/>
  <c r="T35" i="2"/>
  <c r="U35" i="2"/>
  <c r="S36" i="2"/>
  <c r="T36" i="2"/>
  <c r="U36" i="2"/>
  <c r="S37" i="2"/>
  <c r="T37" i="2"/>
  <c r="U37" i="2"/>
  <c r="S38" i="2"/>
  <c r="T38" i="2"/>
  <c r="U38" i="2"/>
  <c r="S39" i="2"/>
  <c r="T39" i="2"/>
  <c r="U39" i="2"/>
  <c r="S40" i="2"/>
  <c r="T40" i="2"/>
  <c r="U40" i="2"/>
  <c r="S41" i="2"/>
  <c r="T41" i="2"/>
  <c r="U41" i="2"/>
  <c r="S42" i="2"/>
  <c r="T42" i="2"/>
  <c r="U42" i="2"/>
  <c r="S43" i="2"/>
  <c r="T43" i="2"/>
  <c r="U43" i="2"/>
  <c r="S44" i="2"/>
  <c r="T44" i="2"/>
  <c r="U44" i="2"/>
  <c r="S45" i="2"/>
  <c r="T45" i="2"/>
  <c r="U45" i="2"/>
  <c r="S46" i="2"/>
  <c r="T46" i="2"/>
  <c r="U46" i="2"/>
  <c r="S47" i="2"/>
  <c r="T47" i="2"/>
  <c r="U47" i="2"/>
  <c r="S48" i="2"/>
  <c r="T48" i="2"/>
  <c r="U48" i="2"/>
  <c r="S49" i="2"/>
  <c r="T49" i="2"/>
  <c r="U49" i="2"/>
  <c r="S50" i="2"/>
  <c r="T50" i="2"/>
  <c r="U50" i="2"/>
  <c r="S51" i="2"/>
  <c r="T51" i="2"/>
  <c r="U51" i="2"/>
  <c r="S52" i="2"/>
  <c r="T52" i="2"/>
  <c r="U52" i="2"/>
  <c r="S53" i="2"/>
  <c r="T53" i="2"/>
  <c r="U53" i="2"/>
  <c r="S54" i="2"/>
  <c r="T54" i="2"/>
  <c r="U54" i="2"/>
  <c r="L15" i="5" a="1"/>
  <c r="L15" i="5" s="1"/>
  <c r="H20" i="7"/>
  <c r="H21" i="7"/>
  <c r="F53" i="7" a="1"/>
  <c r="F53" i="7" s="1"/>
  <c r="F32" i="7" a="1"/>
  <c r="F32" i="7" s="1"/>
  <c r="F16" i="7" a="1"/>
  <c r="F16" i="7" s="1"/>
  <c r="W4" i="5" a="1"/>
  <c r="W4" i="5" s="1"/>
  <c r="J1" i="5" a="1"/>
  <c r="J1" i="5" s="1"/>
  <c r="G6" i="3" a="1"/>
  <c r="G6" i="3" s="1"/>
  <c r="L3" i="1" a="1"/>
  <c r="L3" i="1" s="1"/>
  <c r="S6" i="1" l="1"/>
  <c r="S5" i="1"/>
  <c r="S10" i="1"/>
  <c r="S9" i="1"/>
  <c r="S7" i="1"/>
  <c r="S8" i="1"/>
  <c r="H17" i="7"/>
  <c r="H19" i="7"/>
  <c r="H18" i="7"/>
  <c r="H54" i="7"/>
  <c r="H55" i="7"/>
  <c r="H34" i="7"/>
  <c r="H33" i="7"/>
  <c r="AB19" i="5" a="1"/>
  <c r="AB19" i="5" s="1"/>
  <c r="AB20" i="5" a="1"/>
  <c r="AB20" i="5" s="1"/>
  <c r="Y5" i="5" a="1"/>
  <c r="Y5" i="5" s="1"/>
  <c r="H22" i="3" a="1"/>
  <c r="H22" i="3" s="1"/>
  <c r="K8" i="3" l="1"/>
  <c r="K9" i="3"/>
  <c r="K10" i="3"/>
  <c r="K11" i="3"/>
  <c r="K12" i="3"/>
  <c r="K7" i="3"/>
  <c r="Z6" i="5"/>
  <c r="Z7" i="5"/>
  <c r="Z8" i="5"/>
  <c r="Z9" i="5"/>
  <c r="Z1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8D20BE-A697-432A-8B63-6E3D6FBEDE27}" keepAlive="1" name="Query - Updated_Employee_Skill_Matrix_1" description="Connection to the 'Updated_Employee_Skill_Matrix_1' query in the workbook." type="5" refreshedVersion="8" background="1" saveData="1">
    <dbPr connection="Provider=Microsoft.Mashup.OleDb.1;Data Source=$Workbook$;Location=Updated_Employee_Skill_Matrix_1;Extended Properties=&quot;&quot;" command="SELECT * FROM [Updated_Employee_Skill_Matrix_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<sst xmlns="http://schemas.openxmlformats.org/spreadsheetml/2006/main" count="617" uniqueCount="198">
  <si>
    <t>Name</t>
  </si>
  <si>
    <t>Department</t>
  </si>
  <si>
    <t>Emp_ID</t>
  </si>
  <si>
    <t>Role</t>
  </si>
  <si>
    <t>Skill_Name</t>
  </si>
  <si>
    <t>Skill_Level</t>
  </si>
  <si>
    <t>Training_Completed</t>
  </si>
  <si>
    <t>Certifications_Earned</t>
  </si>
  <si>
    <t>Training_Status</t>
  </si>
  <si>
    <t>Feedback_&amp;_Comments</t>
  </si>
  <si>
    <t>last_review_date</t>
  </si>
  <si>
    <t>Label setting</t>
  </si>
  <si>
    <t>Retention label</t>
  </si>
  <si>
    <t>Retention label Applied</t>
  </si>
  <si>
    <t>Label applied by</t>
  </si>
  <si>
    <t>Item is a Record</t>
  </si>
  <si>
    <t>App Created By</t>
  </si>
  <si>
    <t>App Modified By</t>
  </si>
  <si>
    <t>Completed</t>
  </si>
  <si>
    <t>Employee_1</t>
  </si>
  <si>
    <t>IT</t>
  </si>
  <si>
    <t>E001</t>
  </si>
  <si>
    <t>Analyst</t>
  </si>
  <si>
    <t>Data Analysis</t>
  </si>
  <si>
    <t>No</t>
  </si>
  <si>
    <t>Six Sigma</t>
  </si>
  <si>
    <t>Not Started</t>
  </si>
  <si>
    <t>Excellent</t>
  </si>
  <si>
    <t/>
  </si>
  <si>
    <t>Employee_2</t>
  </si>
  <si>
    <t>HR</t>
  </si>
  <si>
    <t>E002</t>
  </si>
  <si>
    <t>Intern</t>
  </si>
  <si>
    <t>Project Management</t>
  </si>
  <si>
    <t>Yes</t>
  </si>
  <si>
    <t>AWS Certified</t>
  </si>
  <si>
    <t>In Progress</t>
  </si>
  <si>
    <t>Average</t>
  </si>
  <si>
    <t>Employee_3</t>
  </si>
  <si>
    <t>Engineering</t>
  </si>
  <si>
    <t>E003</t>
  </si>
  <si>
    <t>Developer</t>
  </si>
  <si>
    <t>Java</t>
  </si>
  <si>
    <t>None</t>
  </si>
  <si>
    <t>Employee_4</t>
  </si>
  <si>
    <t>Marketing</t>
  </si>
  <si>
    <t>E004</t>
  </si>
  <si>
    <t>Good</t>
  </si>
  <si>
    <t>Employee_5</t>
  </si>
  <si>
    <t>E005</t>
  </si>
  <si>
    <t>Excel</t>
  </si>
  <si>
    <t>Employee_6</t>
  </si>
  <si>
    <t>E006</t>
  </si>
  <si>
    <t>Leadership</t>
  </si>
  <si>
    <t>Employee_7</t>
  </si>
  <si>
    <t>E007</t>
  </si>
  <si>
    <t>Needs Improvement</t>
  </si>
  <si>
    <t>Employee_8</t>
  </si>
  <si>
    <t>E008</t>
  </si>
  <si>
    <t>Consultant</t>
  </si>
  <si>
    <t>Outstanding</t>
  </si>
  <si>
    <t>Employee_9</t>
  </si>
  <si>
    <t>Sales</t>
  </si>
  <si>
    <t>E009</t>
  </si>
  <si>
    <t>Satisfactory</t>
  </si>
  <si>
    <t>Employee_10</t>
  </si>
  <si>
    <t>E010</t>
  </si>
  <si>
    <t>Google Data Analyst</t>
  </si>
  <si>
    <t>Employee_11</t>
  </si>
  <si>
    <t>E011</t>
  </si>
  <si>
    <t>Employee_12</t>
  </si>
  <si>
    <t>E012</t>
  </si>
  <si>
    <t>Pending</t>
  </si>
  <si>
    <t>Employee_13</t>
  </si>
  <si>
    <t>E013</t>
  </si>
  <si>
    <t>Team Lead</t>
  </si>
  <si>
    <t>Employee_14</t>
  </si>
  <si>
    <t>Finance</t>
  </si>
  <si>
    <t>E014</t>
  </si>
  <si>
    <t>PMP</t>
  </si>
  <si>
    <t>Employee_15</t>
  </si>
  <si>
    <t>E015</t>
  </si>
  <si>
    <t>Scrum Master</t>
  </si>
  <si>
    <t>Employee_16</t>
  </si>
  <si>
    <t>E016</t>
  </si>
  <si>
    <t>Employee_17</t>
  </si>
  <si>
    <t>E017</t>
  </si>
  <si>
    <t>Employee_18</t>
  </si>
  <si>
    <t>E018</t>
  </si>
  <si>
    <t>Employee_19</t>
  </si>
  <si>
    <t>E019</t>
  </si>
  <si>
    <t>Employee_20</t>
  </si>
  <si>
    <t>E020</t>
  </si>
  <si>
    <t>Employee_21</t>
  </si>
  <si>
    <t>E021</t>
  </si>
  <si>
    <t>Employee_22</t>
  </si>
  <si>
    <t>E022</t>
  </si>
  <si>
    <t>Employee_23</t>
  </si>
  <si>
    <t>E023</t>
  </si>
  <si>
    <t>Employee_24</t>
  </si>
  <si>
    <t>E024</t>
  </si>
  <si>
    <t>Employee_25</t>
  </si>
  <si>
    <t>E025</t>
  </si>
  <si>
    <t>Employee_26</t>
  </si>
  <si>
    <t>E026</t>
  </si>
  <si>
    <t>Employee_27</t>
  </si>
  <si>
    <t>E027</t>
  </si>
  <si>
    <t>Employee_28</t>
  </si>
  <si>
    <t>E028</t>
  </si>
  <si>
    <t>Employee_29</t>
  </si>
  <si>
    <t>E029</t>
  </si>
  <si>
    <t>Employee_30</t>
  </si>
  <si>
    <t>E030</t>
  </si>
  <si>
    <t>Employee_31</t>
  </si>
  <si>
    <t>E031</t>
  </si>
  <si>
    <t>Employee_32</t>
  </si>
  <si>
    <t>E032</t>
  </si>
  <si>
    <t>Employee_33</t>
  </si>
  <si>
    <t>E033</t>
  </si>
  <si>
    <t>Employee_34</t>
  </si>
  <si>
    <t>E034</t>
  </si>
  <si>
    <t>Employee_35</t>
  </si>
  <si>
    <t>E035</t>
  </si>
  <si>
    <t>Python</t>
  </si>
  <si>
    <t>Employee_36</t>
  </si>
  <si>
    <t>E036</t>
  </si>
  <si>
    <t>Employee_37</t>
  </si>
  <si>
    <t>E037</t>
  </si>
  <si>
    <t>Employee_38</t>
  </si>
  <si>
    <t>E038</t>
  </si>
  <si>
    <t>Employee_39</t>
  </si>
  <si>
    <t>E039</t>
  </si>
  <si>
    <t>Employee_40</t>
  </si>
  <si>
    <t>E040</t>
  </si>
  <si>
    <t>Employee_41</t>
  </si>
  <si>
    <t>E041</t>
  </si>
  <si>
    <t>Employee_42</t>
  </si>
  <si>
    <t>E042</t>
  </si>
  <si>
    <t>Employee_43</t>
  </si>
  <si>
    <t>E043</t>
  </si>
  <si>
    <t>Employee_44</t>
  </si>
  <si>
    <t>E044</t>
  </si>
  <si>
    <t>Employee_45</t>
  </si>
  <si>
    <t>E045</t>
  </si>
  <si>
    <t>Employee_46</t>
  </si>
  <si>
    <t>E046</t>
  </si>
  <si>
    <t>Employee_47</t>
  </si>
  <si>
    <t>E047</t>
  </si>
  <si>
    <t>Employee_48</t>
  </si>
  <si>
    <t>E048</t>
  </si>
  <si>
    <t>Employee_49</t>
  </si>
  <si>
    <t>E049</t>
  </si>
  <si>
    <t>Employee_50</t>
  </si>
  <si>
    <t>E050</t>
  </si>
  <si>
    <t>Count of Skill_Name</t>
  </si>
  <si>
    <t>Grand Total</t>
  </si>
  <si>
    <t xml:space="preserve">Number of employee based on each Skill </t>
  </si>
  <si>
    <t>Count of Name</t>
  </si>
  <si>
    <t>Top 3</t>
  </si>
  <si>
    <t>Selected Skill</t>
  </si>
  <si>
    <t>Selected skill Info</t>
  </si>
  <si>
    <t xml:space="preserve">Position </t>
  </si>
  <si>
    <t>No Of Employee involved</t>
  </si>
  <si>
    <t>Average skill level for each skill across departments</t>
  </si>
  <si>
    <t>Average of Skill_Level</t>
  </si>
  <si>
    <t>Number of Employee completed training in each Department</t>
  </si>
  <si>
    <t>(All)</t>
  </si>
  <si>
    <t>Count of Trainee</t>
  </si>
  <si>
    <t>Count of Training Completed</t>
  </si>
  <si>
    <t>Average of Training Completed</t>
  </si>
  <si>
    <t>Selected Department</t>
  </si>
  <si>
    <t xml:space="preserve">              Selected Department Information</t>
  </si>
  <si>
    <t>Department Position</t>
  </si>
  <si>
    <t>Department Name</t>
  </si>
  <si>
    <t>Number of Employee Training Completed</t>
  </si>
  <si>
    <t>Number of employee based on training completed</t>
  </si>
  <si>
    <t>Count of Training_Completed</t>
  </si>
  <si>
    <t>Certification Earned</t>
  </si>
  <si>
    <t>Number of Employees who earned Certification</t>
  </si>
  <si>
    <t>Count of Employee</t>
  </si>
  <si>
    <t>Number of Employee who are cretified</t>
  </si>
  <si>
    <t>Count of Certification Earned</t>
  </si>
  <si>
    <t>Percentage</t>
  </si>
  <si>
    <t>Training Required</t>
  </si>
  <si>
    <t>Count of Training Required</t>
  </si>
  <si>
    <t>Count of Employee who required Training Based on the Skill Level</t>
  </si>
  <si>
    <t>% of Count</t>
  </si>
  <si>
    <t>Row Labels</t>
  </si>
  <si>
    <t>Count of Department</t>
  </si>
  <si>
    <t>OneDrive SyncEngine</t>
  </si>
  <si>
    <t>employee_51</t>
  </si>
  <si>
    <t>E051</t>
  </si>
  <si>
    <t>analyst</t>
  </si>
  <si>
    <t>none</t>
  </si>
  <si>
    <t>Employee_52</t>
  </si>
  <si>
    <t>E052</t>
  </si>
  <si>
    <t>Amployee_53</t>
  </si>
  <si>
    <t>E053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</si>
</sst>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23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22" fontId="0" fillId="0" borderId="0" xfId="0" applyNumberFormat="1"/>
    <xf numFmtId="0" fontId="0" fillId="0" borderId="0" xfId="0" pivotButton="1"/>
    <xf numFmtId="1" fontId="0" fillId="0" borderId="0" xfId="0" applyNumberFormat="1"/>
    <xf numFmtId="0" fontId="1" fillId="0" borderId="0" xfId="0" applyFont="1"/>
    <xf numFmtId="9" fontId="0" fillId="0" borderId="0" xfId="0" applyNumberFormat="1"/>
    <xf numFmtId="0" fontId="0" fillId="2" borderId="0" xfId="0" applyFill="1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1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1" xfId="0" applyFont="1" applyBorder="1"/>
    <xf numFmtId="0" fontId="0" fillId="0" borderId="1" xfId="0" applyBorder="1"/>
    <xf numFmtId="0" fontId="0" fillId="0" borderId="1" xfId="1" applyNumberFormat="1" applyFont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33">
    <dxf>
      <fill>
        <patternFill>
          <bgColor theme="5" tint="0.39994506668294322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FFFF"/>
      <color rgb="FF5D68A6"/>
      <color rgb="FF262962"/>
      <color rgb="FF1E1F53"/>
      <color rgb="FF4E95D9"/>
      <color rgb="FF21275B"/>
      <color rgb="FF9770DB"/>
      <color rgb="FF0F12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/>
              <a:t>Average skill level for each skill across departments</a:t>
            </a:r>
          </a:p>
        </c:rich>
      </c:tx>
      <c:layout>
        <c:manualLayout>
          <c:xMode val="edge"/>
          <c:yMode val="edge"/>
          <c:x val="0.16180878985871447"/>
          <c:y val="5.45580776010036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pivot_table_1!$L$5</c:f>
              <c:strCache>
                <c:ptCount val="1"/>
                <c:pt idx="0">
                  <c:v>Data Analysis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pivot_table_1!$M$4:$R$4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pivot_table_1!$M$5:$R$5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3.25</c:v>
                </c:pt>
                <c:pt idx="3">
                  <c:v>2.3333333333333335</c:v>
                </c:pt>
                <c:pt idx="4">
                  <c:v>3.25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2-4147-8BBC-1DB39A1F6737}"/>
            </c:ext>
          </c:extLst>
        </c:ser>
        <c:ser>
          <c:idx val="1"/>
          <c:order val="1"/>
          <c:tx>
            <c:strRef>
              <c:f>pivot_table_1!$L$6</c:f>
              <c:strCache>
                <c:ptCount val="1"/>
                <c:pt idx="0">
                  <c:v>Excel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pivot_table_1!$M$4:$R$4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pivot_table_1!$M$6:$R$6</c:f>
              <c:numCache>
                <c:formatCode>General</c:formatCode>
                <c:ptCount val="6"/>
                <c:pt idx="0">
                  <c:v>5</c:v>
                </c:pt>
                <c:pt idx="1">
                  <c:v>3.5</c:v>
                </c:pt>
                <c:pt idx="2">
                  <c:v>0</c:v>
                </c:pt>
                <c:pt idx="3">
                  <c:v>3.5</c:v>
                </c:pt>
                <c:pt idx="4">
                  <c:v>2.6666666666666665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2-4147-8BBC-1DB39A1F6737}"/>
            </c:ext>
          </c:extLst>
        </c:ser>
        <c:ser>
          <c:idx val="2"/>
          <c:order val="2"/>
          <c:tx>
            <c:strRef>
              <c:f>pivot_table_1!$L$7</c:f>
              <c:strCache>
                <c:ptCount val="1"/>
                <c:pt idx="0">
                  <c:v>Java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pivot_table_1!$M$4:$R$4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pivot_table_1!$M$7:$R$7</c:f>
              <c:numCache>
                <c:formatCode>General</c:formatCode>
                <c:ptCount val="6"/>
                <c:pt idx="0">
                  <c:v>5</c:v>
                </c:pt>
                <c:pt idx="1">
                  <c:v>3.3333333333333335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42-4147-8BBC-1DB39A1F6737}"/>
            </c:ext>
          </c:extLst>
        </c:ser>
        <c:ser>
          <c:idx val="3"/>
          <c:order val="3"/>
          <c:tx>
            <c:strRef>
              <c:f>pivot_table_1!$L$8</c:f>
              <c:strCache>
                <c:ptCount val="1"/>
                <c:pt idx="0">
                  <c:v>Leadership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pivot_table_1!$M$4:$R$4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pivot_table_1!$M$8:$R$8</c:f>
              <c:numCache>
                <c:formatCode>General</c:formatCode>
                <c:ptCount val="6"/>
                <c:pt idx="0">
                  <c:v>4.333333333333333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42-4147-8BBC-1DB39A1F6737}"/>
            </c:ext>
          </c:extLst>
        </c:ser>
        <c:ser>
          <c:idx val="4"/>
          <c:order val="4"/>
          <c:tx>
            <c:strRef>
              <c:f>pivot_table_1!$L$9</c:f>
              <c:strCache>
                <c:ptCount val="1"/>
                <c:pt idx="0">
                  <c:v>Project Management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pivot_table_1!$M$4:$R$4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pivot_table_1!$M$9:$R$9</c:f>
              <c:numCache>
                <c:formatCode>General</c:formatCode>
                <c:ptCount val="6"/>
                <c:pt idx="0">
                  <c:v>2.5</c:v>
                </c:pt>
                <c:pt idx="1">
                  <c:v>0</c:v>
                </c:pt>
                <c:pt idx="2">
                  <c:v>2.5</c:v>
                </c:pt>
                <c:pt idx="3">
                  <c:v>1</c:v>
                </c:pt>
                <c:pt idx="4">
                  <c:v>5</c:v>
                </c:pt>
                <c:pt idx="5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42-4147-8BBC-1DB39A1F6737}"/>
            </c:ext>
          </c:extLst>
        </c:ser>
        <c:ser>
          <c:idx val="5"/>
          <c:order val="5"/>
          <c:tx>
            <c:strRef>
              <c:f>pivot_table_1!$L$10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pivot_table_1!$M$4:$R$4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pivot_table_1!$M$10:$R$10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42-4147-8BBC-1DB39A1F6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0826367"/>
        <c:axId val="1380822527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pivot_table_1!$S$4</c15:sqref>
                        </c15:formulaRef>
                      </c:ext>
                    </c:extLst>
                    <c:strCache>
                      <c:ptCount val="1"/>
                      <c:pt idx="0">
                        <c:v>Selected Skill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pivot_table_1!$S$5:$S$10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3D-403A-B641-6AABBC44A0B3}"/>
                  </c:ext>
                </c:extLst>
              </c15:ser>
            </c15:filteredBarSeries>
          </c:ext>
        </c:extLst>
      </c:barChart>
      <c:catAx>
        <c:axId val="138082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822527"/>
        <c:crosses val="autoZero"/>
        <c:auto val="1"/>
        <c:lblAlgn val="ctr"/>
        <c:lblOffset val="100"/>
        <c:noMultiLvlLbl val="0"/>
      </c:catAx>
      <c:valAx>
        <c:axId val="138082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82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THE</a:t>
            </a:r>
            <a:r>
              <a:rPr lang="en-IN" baseline="0"/>
              <a:t> SKILLS OCCUPIED BY THE EMPLOYEES IN THE DEPARTMENT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050763342082239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Pivot_table!$J$18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Pivot_table!$K$1:$P$1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Pivot_table!$K$18:$P$18</c:f>
              <c:numCache>
                <c:formatCode>General</c:formatCode>
                <c:ptCount val="6"/>
                <c:pt idx="1">
                  <c:v>0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2-4740-B2F3-9C55DFAB63A1}"/>
            </c:ext>
          </c:extLst>
        </c:ser>
        <c:ser>
          <c:idx val="1"/>
          <c:order val="1"/>
          <c:tx>
            <c:strRef>
              <c:f>Pivot_table!$J$19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Pivot_table!$K$1:$P$1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Pivot_table!$K$19:$P$19</c:f>
              <c:numCache>
                <c:formatCode>General</c:formatCode>
                <c:ptCount val="6"/>
                <c:pt idx="1">
                  <c:v>0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D2-4740-B2F3-9C55DFAB63A1}"/>
            </c:ext>
          </c:extLst>
        </c:ser>
        <c:ser>
          <c:idx val="2"/>
          <c:order val="2"/>
          <c:tx>
            <c:strRef>
              <c:f>Pivot_table!$J$20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Pivot_table!$K$1:$P$1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Pivot_table!$K$20:$P$20</c:f>
              <c:numCache>
                <c:formatCode>General</c:formatCode>
                <c:ptCount val="6"/>
                <c:pt idx="1">
                  <c:v>0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D2-4740-B2F3-9C55DFAB63A1}"/>
            </c:ext>
          </c:extLst>
        </c:ser>
        <c:ser>
          <c:idx val="3"/>
          <c:order val="3"/>
          <c:tx>
            <c:strRef>
              <c:f>Pivot_table!$J$21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Pivot_table!$K$1:$P$1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Pivot_table!$K$21:$P$21</c:f>
              <c:numCache>
                <c:formatCode>General</c:formatCode>
                <c:ptCount val="6"/>
                <c:pt idx="1">
                  <c:v>0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D2-4740-B2F3-9C55DFAB63A1}"/>
            </c:ext>
          </c:extLst>
        </c:ser>
        <c:ser>
          <c:idx val="4"/>
          <c:order val="4"/>
          <c:tx>
            <c:strRef>
              <c:f>Pivot_table!$J$22</c:f>
              <c:strCache>
                <c:ptCount val="1"/>
                <c:pt idx="0">
                  <c:v>53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Pivot_table!$K$1:$P$1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Pivot_table!$K$22:$P$22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4-6DD2-4740-B2F3-9C55DFAB63A1}"/>
            </c:ext>
          </c:extLst>
        </c:ser>
        <c:ser>
          <c:idx val="5"/>
          <c:order val="5"/>
          <c:tx>
            <c:strRef>
              <c:f>Pivot_table!$J$23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Pivot_table!$K$1:$P$1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Pivot_table!$K$23:$P$23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5-6DD2-4740-B2F3-9C55DFAB6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875567"/>
        <c:axId val="128889967"/>
      </c:barChart>
      <c:catAx>
        <c:axId val="12887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89967"/>
        <c:crosses val="autoZero"/>
        <c:auto val="1"/>
        <c:lblAlgn val="ctr"/>
        <c:lblOffset val="100"/>
        <c:noMultiLvlLbl val="0"/>
      </c:catAx>
      <c:valAx>
        <c:axId val="12888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7556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Pivot_table!$X$4</c:f>
              <c:strCache>
                <c:ptCount val="1"/>
                <c:pt idx="0">
                  <c:v>Count of 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Pivot_table!$W$5:$W$10</c:f>
              <c:strCache>
                <c:ptCount val="6"/>
                <c:pt idx="0">
                  <c:v>Data Analysis</c:v>
                </c:pt>
                <c:pt idx="1">
                  <c:v>Project Management</c:v>
                </c:pt>
                <c:pt idx="2">
                  <c:v>Java</c:v>
                </c:pt>
                <c:pt idx="3">
                  <c:v>Leadership</c:v>
                </c:pt>
                <c:pt idx="4">
                  <c:v>Excel</c:v>
                </c:pt>
                <c:pt idx="5">
                  <c:v>Python</c:v>
                </c:pt>
              </c:strCache>
            </c:strRef>
          </c:cat>
          <c:val>
            <c:numRef>
              <c:f>Pivot_table!$X$5:$X$10</c:f>
              <c:numCache>
                <c:formatCode>General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3-42AE-833B-246526E64B32}"/>
            </c:ext>
          </c:extLst>
        </c:ser>
        <c:ser>
          <c:idx val="1"/>
          <c:order val="1"/>
          <c:tx>
            <c:strRef>
              <c:f>Pivot_table!$Y$4</c:f>
              <c:strCache>
                <c:ptCount val="1"/>
                <c:pt idx="0">
                  <c:v>Top 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Pivot_table!$Y$5:$Y$10</c:f>
              <c:numCache>
                <c:formatCode>General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E3-42AE-833B-246526E64B32}"/>
            </c:ext>
          </c:extLst>
        </c:ser>
        <c:ser>
          <c:idx val="2"/>
          <c:order val="2"/>
          <c:tx>
            <c:strRef>
              <c:f>Pivot_table!$Z$4</c:f>
              <c:strCache>
                <c:ptCount val="1"/>
                <c:pt idx="0">
                  <c:v>Selected Skill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Pivot_table!$Z$5:$Z$10</c:f>
              <c:numCache>
                <c:formatCode>General</c:formatCode>
                <c:ptCount val="6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E3-42AE-833B-246526E64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958173407"/>
        <c:axId val="1958185407"/>
      </c:barChart>
      <c:catAx>
        <c:axId val="1958173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185407"/>
        <c:crosses val="autoZero"/>
        <c:auto val="1"/>
        <c:lblAlgn val="ctr"/>
        <c:lblOffset val="100"/>
        <c:noMultiLvlLbl val="0"/>
      </c:catAx>
      <c:valAx>
        <c:axId val="195818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17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Pivot_table!$M$15</c:f>
              <c:strCache>
                <c:ptCount val="1"/>
                <c:pt idx="0">
                  <c:v>Count of Department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4DC-4996-B142-CA71CF4924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4DC-4996-B142-CA71CF4924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4DC-4996-B142-CA71CF4924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4DC-4996-B142-CA71CF4924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4DC-4996-B142-CA71CF4924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4DC-4996-B142-CA71CF49249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14DC-4996-B142-CA71CF49249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14DC-4996-B142-CA71CF49249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14DC-4996-B142-CA71CF49249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14DC-4996-B142-CA71CF49249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14DC-4996-B142-CA71CF49249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14DC-4996-B142-CA71CF492499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Pivot_table!$L$16:$L$21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Pivot_table!$M$16:$M$21</c:f>
              <c:numCache>
                <c:formatCode>General</c:formatCode>
                <c:ptCount val="6"/>
                <c:pt idx="0">
                  <c:v>9</c:v>
                </c:pt>
                <c:pt idx="1">
                  <c:v>7</c:v>
                </c:pt>
                <c:pt idx="2">
                  <c:v>9</c:v>
                </c:pt>
                <c:pt idx="3">
                  <c:v>9</c:v>
                </c:pt>
                <c:pt idx="4">
                  <c:v>12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C-4996-B142-CA71CF49249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Trainess completed the course</a:t>
            </a:r>
          </a:p>
        </c:rich>
      </c:tx>
      <c:layout>
        <c:manualLayout>
          <c:xMode val="edge"/>
          <c:yMode val="edge"/>
          <c:x val="0.17179182689062672"/>
          <c:y val="3.33335664537217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pivot_table_2!$H$6</c:f>
              <c:strCache>
                <c:ptCount val="1"/>
                <c:pt idx="0">
                  <c:v>Count of Trainee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pivot_table_2!$G$7:$G$12</c:f>
              <c:strCache>
                <c:ptCount val="6"/>
                <c:pt idx="0">
                  <c:v>Marketing</c:v>
                </c:pt>
                <c:pt idx="1">
                  <c:v>IT</c:v>
                </c:pt>
                <c:pt idx="2">
                  <c:v>Engineering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pivot_table_2!$H$7:$H$12</c:f>
              <c:numCache>
                <c:formatCode>General</c:formatCode>
                <c:ptCount val="6"/>
                <c:pt idx="0">
                  <c:v>12</c:v>
                </c:pt>
                <c:pt idx="1">
                  <c:v>9</c:v>
                </c:pt>
                <c:pt idx="2">
                  <c:v>9</c:v>
                </c:pt>
                <c:pt idx="3">
                  <c:v>7</c:v>
                </c:pt>
                <c:pt idx="4">
                  <c:v>9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46-4BF3-9F77-2E7D47333B1E}"/>
            </c:ext>
          </c:extLst>
        </c:ser>
        <c:ser>
          <c:idx val="1"/>
          <c:order val="1"/>
          <c:tx>
            <c:strRef>
              <c:f>pivot_table_2!$I$6</c:f>
              <c:strCache>
                <c:ptCount val="1"/>
                <c:pt idx="0">
                  <c:v>Count of Training 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pivot_table_2!$G$7:$G$12</c:f>
              <c:strCache>
                <c:ptCount val="6"/>
                <c:pt idx="0">
                  <c:v>Marketing</c:v>
                </c:pt>
                <c:pt idx="1">
                  <c:v>IT</c:v>
                </c:pt>
                <c:pt idx="2">
                  <c:v>Engineering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pivot_table_2!$I$7:$I$12</c:f>
              <c:numCache>
                <c:formatCode>General</c:formatCode>
                <c:ptCount val="6"/>
                <c:pt idx="0">
                  <c:v>7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46-4BF3-9F77-2E7D47333B1E}"/>
            </c:ext>
          </c:extLst>
        </c:ser>
        <c:ser>
          <c:idx val="2"/>
          <c:order val="2"/>
          <c:tx>
            <c:strRef>
              <c:f>pivot_table_2!$J$6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pivot_table_2!$J$7:$J$12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89B2-4FD4-92F0-41F444AE2047}"/>
            </c:ext>
          </c:extLst>
        </c:ser>
        <c:ser>
          <c:idx val="3"/>
          <c:order val="3"/>
          <c:tx>
            <c:strRef>
              <c:f>pivot_table_2!$K$6</c:f>
              <c:strCache>
                <c:ptCount val="1"/>
                <c:pt idx="0">
                  <c:v>Selected Department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pivot_table_2!$K$7:$K$12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B2-4FD4-92F0-41F444AE2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08444935"/>
        <c:axId val="41427976"/>
      </c:barChart>
      <c:catAx>
        <c:axId val="1608444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27976"/>
        <c:crosses val="autoZero"/>
        <c:auto val="1"/>
        <c:lblAlgn val="ctr"/>
        <c:lblOffset val="100"/>
        <c:noMultiLvlLbl val="0"/>
      </c:catAx>
      <c:valAx>
        <c:axId val="4142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44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NUMBER OF CERTIFIED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Pivot_table_3!$G$16</c:f>
              <c:strCache>
                <c:ptCount val="1"/>
                <c:pt idx="0">
                  <c:v>Count of Employee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5F-4679-B77F-E579D5A050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5F-4679-B77F-E579D5A050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5F-4679-B77F-E579D5A050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F5F-4679-B77F-E579D5A050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F5F-4679-B77F-E579D5A050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E1F5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Pivot_table_3!$F$17:$F$21</c:f>
              <c:strCache>
                <c:ptCount val="5"/>
                <c:pt idx="0">
                  <c:v>AWS Certified</c:v>
                </c:pt>
                <c:pt idx="1">
                  <c:v>Google Data Analyst</c:v>
                </c:pt>
                <c:pt idx="2">
                  <c:v>Scrum Master</c:v>
                </c:pt>
                <c:pt idx="3">
                  <c:v>PMP</c:v>
                </c:pt>
                <c:pt idx="4">
                  <c:v>Six Sigma</c:v>
                </c:pt>
              </c:strCache>
            </c:strRef>
          </c:cat>
          <c:val>
            <c:numRef>
              <c:f>Pivot_table_3!$G$17:$G$21</c:f>
              <c:numCache>
                <c:formatCode>General</c:formatCode>
                <c:ptCount val="5"/>
                <c:pt idx="0">
                  <c:v>11</c:v>
                </c:pt>
                <c:pt idx="1">
                  <c:v>11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1-4EA9-A3A8-CD7200503108}"/>
            </c:ext>
          </c:extLst>
        </c:ser>
        <c:ser>
          <c:idx val="1"/>
          <c:order val="1"/>
          <c:tx>
            <c:strRef>
              <c:f>Pivot_table_3!$H$16</c:f>
              <c:strCache>
                <c:ptCount val="1"/>
                <c:pt idx="0">
                  <c:v>% of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627-4489-BFBD-F297A3E876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627-4489-BFBD-F297A3E876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627-4489-BFBD-F297A3E876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627-4489-BFBD-F297A3E876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627-4489-BFBD-F297A3E87679}"/>
              </c:ext>
            </c:extLst>
          </c:dPt>
          <c:val>
            <c:numRef>
              <c:f>Pivot_table_3!$H$17:$H$21</c:f>
              <c:numCache>
                <c:formatCode>0%</c:formatCode>
                <c:ptCount val="5"/>
                <c:pt idx="0">
                  <c:v>0.28205128205128205</c:v>
                </c:pt>
                <c:pt idx="1">
                  <c:v>0.28205128205128205</c:v>
                </c:pt>
                <c:pt idx="2">
                  <c:v>0.15384615384615385</c:v>
                </c:pt>
                <c:pt idx="3">
                  <c:v>0.15384615384615385</c:v>
                </c:pt>
                <c:pt idx="4">
                  <c:v>0.12820512820512819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D8-41CC-9965-C2C50344B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PERCENTAGE OF CERTIFIED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Pivot_table_3!$G$32</c:f>
              <c:strCache>
                <c:ptCount val="1"/>
                <c:pt idx="0">
                  <c:v>Count of Certification Earned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D0-480C-8232-2978F40F31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D0-480C-8232-2978F40F311F}"/>
              </c:ext>
            </c:extLst>
          </c:dPt>
          <c:cat>
            <c:strRef>
              <c:f>Pivot_table_3!$F$33:$F$34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Pivot_table_3!$G$33:$G$34</c:f>
              <c:numCache>
                <c:formatCode>General</c:formatCode>
                <c:ptCount val="2"/>
                <c:pt idx="0">
                  <c:v>14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A-40E6-9F2F-C5926D96F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PERCENTAGE</a:t>
            </a:r>
            <a:r>
              <a:rPr lang="en-IN" baseline="0"/>
              <a:t> OF EMPLOYEE WHO REQUIRE TRAINING</a:t>
            </a:r>
            <a:endParaRPr lang="en-IN"/>
          </a:p>
        </c:rich>
      </c:tx>
      <c:layout>
        <c:manualLayout>
          <c:xMode val="edge"/>
          <c:yMode val="edge"/>
          <c:x val="0.2026804461942257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Pivot_table_3!$G$53</c:f>
              <c:strCache>
                <c:ptCount val="1"/>
                <c:pt idx="0">
                  <c:v>Count of Training Required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E0-411C-9068-558B6E737D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E0-411C-9068-558B6E737D85}"/>
              </c:ext>
            </c:extLst>
          </c:dPt>
          <c:cat>
            <c:strRef>
              <c:f>Pivot_table_3!$F$54:$F$55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Pivot_table_3!$G$54:$G$55</c:f>
              <c:numCache>
                <c:formatCode>General</c:formatCode>
                <c:ptCount val="2"/>
                <c:pt idx="0">
                  <c:v>35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9-4533-9E2D-D74F8A256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spc="50" baseline="0">
                <a:solidFill>
                  <a:schemeClr val="accent1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0">
                <a:solidFill>
                  <a:srgbClr val="00FFFF"/>
                </a:solidFill>
              </a:rPr>
              <a:t>Average skill level for each skill across departments</a:t>
            </a:r>
          </a:p>
        </c:rich>
      </c:tx>
      <c:layout>
        <c:manualLayout>
          <c:xMode val="edge"/>
          <c:yMode val="edge"/>
          <c:x val="0.24131147613504311"/>
          <c:y val="5.1199922575404365E-2"/>
        </c:manualLayout>
      </c:layout>
      <c:overlay val="0"/>
      <c:spPr>
        <a:solidFill>
          <a:srgbClr val="26296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spc="50" baseline="0">
              <a:solidFill>
                <a:schemeClr val="accent1">
                  <a:lumMod val="40000"/>
                  <a:lumOff val="6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pivot_table_1!$L$5</c:f>
              <c:strCache>
                <c:ptCount val="1"/>
                <c:pt idx="0">
                  <c:v>Data Analysis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pivot_table_1!$M$4:$R$4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pivot_table_1!$M$5:$R$5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3.25</c:v>
                </c:pt>
                <c:pt idx="3">
                  <c:v>2.3333333333333335</c:v>
                </c:pt>
                <c:pt idx="4">
                  <c:v>3.25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F-4B38-B657-73568A46DC9D}"/>
            </c:ext>
          </c:extLst>
        </c:ser>
        <c:ser>
          <c:idx val="1"/>
          <c:order val="1"/>
          <c:tx>
            <c:strRef>
              <c:f>pivot_table_1!$L$6</c:f>
              <c:strCache>
                <c:ptCount val="1"/>
                <c:pt idx="0">
                  <c:v>Excel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pivot_table_1!$M$4:$R$4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pivot_table_1!$M$6:$R$6</c:f>
              <c:numCache>
                <c:formatCode>General</c:formatCode>
                <c:ptCount val="6"/>
                <c:pt idx="0">
                  <c:v>5</c:v>
                </c:pt>
                <c:pt idx="1">
                  <c:v>3.5</c:v>
                </c:pt>
                <c:pt idx="2">
                  <c:v>0</c:v>
                </c:pt>
                <c:pt idx="3">
                  <c:v>3.5</c:v>
                </c:pt>
                <c:pt idx="4">
                  <c:v>2.6666666666666665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CF-4B38-B657-73568A46DC9D}"/>
            </c:ext>
          </c:extLst>
        </c:ser>
        <c:ser>
          <c:idx val="2"/>
          <c:order val="2"/>
          <c:tx>
            <c:strRef>
              <c:f>pivot_table_1!$L$7</c:f>
              <c:strCache>
                <c:ptCount val="1"/>
                <c:pt idx="0">
                  <c:v>Java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pivot_table_1!$M$4:$R$4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pivot_table_1!$M$7:$R$7</c:f>
              <c:numCache>
                <c:formatCode>General</c:formatCode>
                <c:ptCount val="6"/>
                <c:pt idx="0">
                  <c:v>5</c:v>
                </c:pt>
                <c:pt idx="1">
                  <c:v>3.3333333333333335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CF-4B38-B657-73568A46DC9D}"/>
            </c:ext>
          </c:extLst>
        </c:ser>
        <c:ser>
          <c:idx val="3"/>
          <c:order val="3"/>
          <c:tx>
            <c:strRef>
              <c:f>pivot_table_1!$L$8</c:f>
              <c:strCache>
                <c:ptCount val="1"/>
                <c:pt idx="0">
                  <c:v>Leadership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0000"/>
                  </a:schemeClr>
                </a:gs>
                <a:gs pos="75000">
                  <a:schemeClr val="accent2">
                    <a:lumMod val="60000"/>
                    <a:lumMod val="60000"/>
                    <a:lumOff val="40000"/>
                  </a:schemeClr>
                </a:gs>
                <a:gs pos="51000">
                  <a:schemeClr val="accent2">
                    <a:lumMod val="60000"/>
                    <a:alpha val="75000"/>
                  </a:schemeClr>
                </a:gs>
                <a:gs pos="100000">
                  <a:schemeClr val="accent2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pivot_table_1!$M$4:$R$4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pivot_table_1!$M$8:$R$8</c:f>
              <c:numCache>
                <c:formatCode>General</c:formatCode>
                <c:ptCount val="6"/>
                <c:pt idx="0">
                  <c:v>4.333333333333333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CF-4B38-B657-73568A46DC9D}"/>
            </c:ext>
          </c:extLst>
        </c:ser>
        <c:ser>
          <c:idx val="4"/>
          <c:order val="4"/>
          <c:tx>
            <c:strRef>
              <c:f>pivot_table_1!$L$9</c:f>
              <c:strCache>
                <c:ptCount val="1"/>
                <c:pt idx="0">
                  <c:v>Project Management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60000"/>
                  </a:schemeClr>
                </a:gs>
                <a:gs pos="75000">
                  <a:schemeClr val="accent4">
                    <a:lumMod val="60000"/>
                    <a:lumMod val="60000"/>
                    <a:lumOff val="40000"/>
                  </a:schemeClr>
                </a:gs>
                <a:gs pos="51000">
                  <a:schemeClr val="accent4">
                    <a:lumMod val="60000"/>
                    <a:alpha val="75000"/>
                  </a:schemeClr>
                </a:gs>
                <a:gs pos="100000">
                  <a:schemeClr val="accent4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pivot_table_1!$M$4:$R$4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pivot_table_1!$M$9:$R$9</c:f>
              <c:numCache>
                <c:formatCode>General</c:formatCode>
                <c:ptCount val="6"/>
                <c:pt idx="0">
                  <c:v>2.5</c:v>
                </c:pt>
                <c:pt idx="1">
                  <c:v>0</c:v>
                </c:pt>
                <c:pt idx="2">
                  <c:v>2.5</c:v>
                </c:pt>
                <c:pt idx="3">
                  <c:v>1</c:v>
                </c:pt>
                <c:pt idx="4">
                  <c:v>5</c:v>
                </c:pt>
                <c:pt idx="5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CF-4B38-B657-73568A46DC9D}"/>
            </c:ext>
          </c:extLst>
        </c:ser>
        <c:ser>
          <c:idx val="5"/>
          <c:order val="5"/>
          <c:tx>
            <c:strRef>
              <c:f>pivot_table_1!$L$10</c:f>
              <c:strCache>
                <c:ptCount val="1"/>
                <c:pt idx="0">
                  <c:v>Python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60000"/>
                  </a:schemeClr>
                </a:gs>
                <a:gs pos="75000">
                  <a:schemeClr val="accent6">
                    <a:lumMod val="60000"/>
                    <a:lumMod val="60000"/>
                    <a:lumOff val="40000"/>
                  </a:schemeClr>
                </a:gs>
                <a:gs pos="51000">
                  <a:schemeClr val="accent6">
                    <a:lumMod val="60000"/>
                    <a:alpha val="75000"/>
                  </a:schemeClr>
                </a:gs>
                <a:gs pos="100000">
                  <a:schemeClr val="accent6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pivot_table_1!$M$4:$R$4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pivot_table_1!$M$10:$R$10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CF-4B38-B657-73568A46D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380826367"/>
        <c:axId val="1380822527"/>
      </c:barChart>
      <c:catAx>
        <c:axId val="138082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822527"/>
        <c:crosses val="autoZero"/>
        <c:auto val="1"/>
        <c:lblAlgn val="ctr"/>
        <c:lblOffset val="100"/>
        <c:noMultiLvlLbl val="0"/>
      </c:catAx>
      <c:valAx>
        <c:axId val="1380822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82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62962"/>
    </a:solidFill>
    <a:ln w="34925" cap="flat" cmpd="sng" algn="ctr">
      <a:noFill/>
      <a:round/>
    </a:ln>
    <a:effectLst>
      <a:glow rad="101600">
        <a:schemeClr val="accent3">
          <a:lumMod val="60000"/>
          <a:lumOff val="40000"/>
        </a:schemeClr>
      </a:glow>
      <a:softEdge rad="31750"/>
    </a:effectLst>
  </c:spPr>
  <c:txPr>
    <a:bodyPr/>
    <a:lstStyle/>
    <a:p>
      <a:pPr>
        <a:defRPr>
          <a:solidFill>
            <a:schemeClr val="accent1">
              <a:lumMod val="40000"/>
              <a:lumOff val="6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0">
                <a:solidFill>
                  <a:srgbClr val="00FFFF"/>
                </a:solidFill>
              </a:rPr>
              <a:t>THE SKILLS OCCUPIED BY THE EMPLOYEES IN THE DEPARTMENT</a:t>
            </a:r>
          </a:p>
          <a:p>
            <a:pPr>
              <a:defRPr/>
            </a:pPr>
            <a:endParaRPr lang="en-IN" b="0"/>
          </a:p>
        </c:rich>
      </c:tx>
      <c:layout>
        <c:manualLayout>
          <c:xMode val="edge"/>
          <c:yMode val="edge"/>
          <c:x val="0.25267317567468478"/>
          <c:y val="3.09369567158717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40000"/>
                  <a:lumOff val="6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Pivot_table!$J$2</c:f>
              <c:strCache>
                <c:ptCount val="1"/>
                <c:pt idx="0">
                  <c:v>Data Analysis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Pivot_table!$K$1:$P$1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Pivot_table!$K$2:$P$2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F-4BB7-9D48-F86B7BF4DDFF}"/>
            </c:ext>
          </c:extLst>
        </c:ser>
        <c:ser>
          <c:idx val="1"/>
          <c:order val="1"/>
          <c:tx>
            <c:strRef>
              <c:f>Pivot_table!$J$3</c:f>
              <c:strCache>
                <c:ptCount val="1"/>
                <c:pt idx="0">
                  <c:v>Excel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Pivot_table!$K$1:$P$1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Pivot_table!$K$3:$P$3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3F-4BB7-9D48-F86B7BF4DDFF}"/>
            </c:ext>
          </c:extLst>
        </c:ser>
        <c:ser>
          <c:idx val="2"/>
          <c:order val="2"/>
          <c:tx>
            <c:strRef>
              <c:f>Pivot_table!$J$4</c:f>
              <c:strCache>
                <c:ptCount val="1"/>
                <c:pt idx="0">
                  <c:v>Java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Pivot_table!$K$1:$P$1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Pivot_table!$K$4:$P$4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3F-4BB7-9D48-F86B7BF4DDFF}"/>
            </c:ext>
          </c:extLst>
        </c:ser>
        <c:ser>
          <c:idx val="3"/>
          <c:order val="3"/>
          <c:tx>
            <c:strRef>
              <c:f>Pivot_table!$J$5</c:f>
              <c:strCache>
                <c:ptCount val="1"/>
                <c:pt idx="0">
                  <c:v>Leadership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Pivot_table!$K$1:$P$1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Pivot_table!$K$5:$P$5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3F-4BB7-9D48-F86B7BF4DDFF}"/>
            </c:ext>
          </c:extLst>
        </c:ser>
        <c:ser>
          <c:idx val="4"/>
          <c:order val="4"/>
          <c:tx>
            <c:strRef>
              <c:f>Pivot_table!$J$6</c:f>
              <c:strCache>
                <c:ptCount val="1"/>
                <c:pt idx="0">
                  <c:v>Project Management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Pivot_table!$K$1:$P$1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Pivot_table!$K$6:$P$6</c:f>
              <c:numCache>
                <c:formatCode>General</c:formatCode>
                <c:ptCount val="6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3F-4BB7-9D48-F86B7BF4DDFF}"/>
            </c:ext>
          </c:extLst>
        </c:ser>
        <c:ser>
          <c:idx val="5"/>
          <c:order val="5"/>
          <c:tx>
            <c:strRef>
              <c:f>Pivot_table!$J$7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Pivot_table!$K$1:$P$1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Pivot_table!$K$7:$P$7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3F-4BB7-9D48-F86B7BF4D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875567"/>
        <c:axId val="128889967"/>
      </c:barChart>
      <c:catAx>
        <c:axId val="12887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89967"/>
        <c:crosses val="autoZero"/>
        <c:auto val="1"/>
        <c:lblAlgn val="ctr"/>
        <c:lblOffset val="100"/>
        <c:noMultiLvlLbl val="0"/>
      </c:catAx>
      <c:valAx>
        <c:axId val="128889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75567"/>
        <c:crosses val="autoZero"/>
        <c:crossBetween val="between"/>
        <c:maj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62962"/>
    </a:solidFill>
    <a:ln w="34925" cap="flat" cmpd="sng" algn="ctr">
      <a:noFill/>
      <a:round/>
    </a:ln>
    <a:effectLst>
      <a:glow rad="101600">
        <a:schemeClr val="accent3">
          <a:lumMod val="60000"/>
          <a:lumOff val="40000"/>
        </a:schemeClr>
      </a:glow>
    </a:effectLst>
  </c:spPr>
  <c:txPr>
    <a:bodyPr/>
    <a:lstStyle/>
    <a:p>
      <a:pPr>
        <a:defRPr>
          <a:solidFill>
            <a:schemeClr val="accent1">
              <a:lumMod val="40000"/>
              <a:lumOff val="6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>
                <a:solidFill>
                  <a:srgbClr val="00FFFF"/>
                </a:solidFill>
              </a:rPr>
              <a:t>NUMBER</a:t>
            </a:r>
            <a:r>
              <a:rPr lang="en-IN" sz="1600" baseline="0">
                <a:solidFill>
                  <a:srgbClr val="00FFFF"/>
                </a:solidFill>
              </a:rPr>
              <a:t> OF EMPLOYEES INVOLVED IN EACH SKILL</a:t>
            </a:r>
            <a:endParaRPr lang="en-IN" sz="1600">
              <a:solidFill>
                <a:srgbClr val="00FFFF"/>
              </a:solidFill>
            </a:endParaRPr>
          </a:p>
        </c:rich>
      </c:tx>
      <c:layout>
        <c:manualLayout>
          <c:xMode val="edge"/>
          <c:yMode val="edge"/>
          <c:x val="0.13634279620893386"/>
          <c:y val="9.950150009610643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40000"/>
                  <a:lumOff val="6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Pivot_table!$X$4</c:f>
              <c:strCache>
                <c:ptCount val="1"/>
                <c:pt idx="0">
                  <c:v>Count of 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Pivot_table!$W$5:$W$10</c:f>
              <c:strCache>
                <c:ptCount val="6"/>
                <c:pt idx="0">
                  <c:v>Data Analysis</c:v>
                </c:pt>
                <c:pt idx="1">
                  <c:v>Project Management</c:v>
                </c:pt>
                <c:pt idx="2">
                  <c:v>Java</c:v>
                </c:pt>
                <c:pt idx="3">
                  <c:v>Leadership</c:v>
                </c:pt>
                <c:pt idx="4">
                  <c:v>Excel</c:v>
                </c:pt>
                <c:pt idx="5">
                  <c:v>Python</c:v>
                </c:pt>
              </c:strCache>
            </c:strRef>
          </c:cat>
          <c:val>
            <c:numRef>
              <c:f>Pivot_table!$X$5:$X$10</c:f>
              <c:numCache>
                <c:formatCode>General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1-4EF9-A16F-C89792288656}"/>
            </c:ext>
          </c:extLst>
        </c:ser>
        <c:ser>
          <c:idx val="1"/>
          <c:order val="1"/>
          <c:tx>
            <c:strRef>
              <c:f>Pivot_table!$Y$4</c:f>
              <c:strCache>
                <c:ptCount val="1"/>
                <c:pt idx="0">
                  <c:v>Top 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Pivot_table!$Y$5:$Y$10</c:f>
              <c:numCache>
                <c:formatCode>General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91-4EF9-A16F-C89792288656}"/>
            </c:ext>
          </c:extLst>
        </c:ser>
        <c:ser>
          <c:idx val="2"/>
          <c:order val="2"/>
          <c:tx>
            <c:strRef>
              <c:f>Pivot_table!$Z$4</c:f>
              <c:strCache>
                <c:ptCount val="1"/>
                <c:pt idx="0">
                  <c:v>Selected Skill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Pivot_table!$Z$5:$Z$10</c:f>
              <c:numCache>
                <c:formatCode>General</c:formatCode>
                <c:ptCount val="6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91-4EF9-A16F-C89792288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958173407"/>
        <c:axId val="1958185407"/>
      </c:barChart>
      <c:catAx>
        <c:axId val="1958173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FFFF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185407"/>
        <c:crosses val="autoZero"/>
        <c:auto val="1"/>
        <c:lblAlgn val="ctr"/>
        <c:lblOffset val="100"/>
        <c:noMultiLvlLbl val="0"/>
      </c:catAx>
      <c:valAx>
        <c:axId val="195818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17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62962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accent1">
              <a:lumMod val="40000"/>
              <a:lumOff val="6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FFFF"/>
                </a:solidFill>
                <a:latin typeface="+mn-lt"/>
                <a:ea typeface="+mn-ea"/>
                <a:cs typeface="+mn-cs"/>
              </a:defRPr>
            </a:pPr>
            <a:r>
              <a:rPr lang="en-IN" sz="1600"/>
              <a:t>NUMBER OF EMPLOYEE CERTIFIED IN EACH</a:t>
            </a:r>
            <a:r>
              <a:rPr lang="en-IN" sz="1600" baseline="0"/>
              <a:t> DOMAIN</a:t>
            </a:r>
            <a:endParaRPr lang="en-IN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FFFF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Pivot_table_3!$G$16</c:f>
              <c:strCache>
                <c:ptCount val="1"/>
                <c:pt idx="0">
                  <c:v>Count of Employee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76-404C-821A-5FDD2D9AAF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876-404C-821A-5FDD2D9AAF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876-404C-821A-5FDD2D9AAF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876-404C-821A-5FDD2D9AAF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876-404C-821A-5FDD2D9AAF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rgbClr val="00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Pivot_table_3!$F$17:$F$21</c:f>
              <c:strCache>
                <c:ptCount val="5"/>
                <c:pt idx="0">
                  <c:v>AWS Certified</c:v>
                </c:pt>
                <c:pt idx="1">
                  <c:v>Google Data Analyst</c:v>
                </c:pt>
                <c:pt idx="2">
                  <c:v>Scrum Master</c:v>
                </c:pt>
                <c:pt idx="3">
                  <c:v>PMP</c:v>
                </c:pt>
                <c:pt idx="4">
                  <c:v>Six Sigma</c:v>
                </c:pt>
              </c:strCache>
            </c:strRef>
          </c:cat>
          <c:val>
            <c:numRef>
              <c:f>Pivot_table_3!$G$17:$G$21</c:f>
              <c:numCache>
                <c:formatCode>General</c:formatCode>
                <c:ptCount val="5"/>
                <c:pt idx="0">
                  <c:v>11</c:v>
                </c:pt>
                <c:pt idx="1">
                  <c:v>11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876-404C-821A-5FDD2D9AA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62962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00FFFF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FFFF"/>
                </a:solidFill>
                <a:latin typeface="+mn-lt"/>
                <a:ea typeface="+mn-ea"/>
                <a:cs typeface="+mn-cs"/>
              </a:defRPr>
            </a:pPr>
            <a:r>
              <a:rPr lang="en-IN" sz="1600"/>
              <a:t>PERCENTAGE OF CERTIFIED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Pivot_table_3!$G$32</c:f>
              <c:strCache>
                <c:ptCount val="1"/>
                <c:pt idx="0">
                  <c:v>Count of Certification Earned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412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30-4907-A5A5-457C804AE8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30-4907-A5A5-457C804AE80A}"/>
              </c:ext>
            </c:extLst>
          </c:dPt>
          <c:cat>
            <c:strRef>
              <c:f>Pivot_table_3!$F$33:$F$34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Pivot_table_3!$G$33:$G$34</c:f>
              <c:numCache>
                <c:formatCode>General</c:formatCode>
                <c:ptCount val="2"/>
                <c:pt idx="0">
                  <c:v>14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30-4907-A5A5-457C804AE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62962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00FFFF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FFFF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PERCENTAGE OF EMPLOYEE WHO REQUIRE TRAINING</a:t>
            </a:r>
          </a:p>
        </c:rich>
      </c:tx>
      <c:layout>
        <c:manualLayout>
          <c:xMode val="edge"/>
          <c:yMode val="edge"/>
          <c:x val="0.12285073988456262"/>
          <c:y val="3.24073363557023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FFFF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3631185871657562E-2"/>
          <c:y val="0.21432883252044499"/>
          <c:w val="0.91636881412834248"/>
          <c:h val="0.78307877496856393"/>
        </c:manualLayout>
      </c:layout>
      <c:doughnutChart>
        <c:varyColors val="1"/>
        <c:ser>
          <c:idx val="0"/>
          <c:order val="0"/>
          <c:tx>
            <c:strRef>
              <c:f>Pivot_table_3!$G$53</c:f>
              <c:strCache>
                <c:ptCount val="1"/>
                <c:pt idx="0">
                  <c:v>Count of Training Required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017-4E1E-98D2-91FBAF6885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17-4E1E-98D2-91FBAF68857D}"/>
              </c:ext>
            </c:extLst>
          </c:dPt>
          <c:cat>
            <c:strRef>
              <c:f>Pivot_table_3!$F$54:$F$55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Pivot_table_3!$G$54:$G$55</c:f>
              <c:numCache>
                <c:formatCode>General</c:formatCode>
                <c:ptCount val="2"/>
                <c:pt idx="0">
                  <c:v>35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17-4E1E-98D2-91FBAF688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62962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00FFFF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>
                <a:solidFill>
                  <a:srgbClr val="00FFFF"/>
                </a:solidFill>
              </a:rPr>
              <a:t>NUMBER OF EMPLOYEE</a:t>
            </a:r>
            <a:r>
              <a:rPr lang="en-US" sz="1600" b="0" baseline="0">
                <a:solidFill>
                  <a:srgbClr val="00FFFF"/>
                </a:solidFill>
              </a:rPr>
              <a:t> COMPLETED THE TRAINING</a:t>
            </a:r>
            <a:endParaRPr lang="en-US" sz="1600" b="0">
              <a:solidFill>
                <a:srgbClr val="00FFFF"/>
              </a:solidFill>
            </a:endParaRPr>
          </a:p>
        </c:rich>
      </c:tx>
      <c:layout>
        <c:manualLayout>
          <c:xMode val="edge"/>
          <c:yMode val="edge"/>
          <c:x val="0.15892489905778659"/>
          <c:y val="8.1172152827122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044867742662757E-2"/>
          <c:y val="0.13588611223797575"/>
          <c:w val="0.92840966327527086"/>
          <c:h val="0.74044004746099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pivot_table_2!$H$6</c:f>
              <c:strCache>
                <c:ptCount val="1"/>
                <c:pt idx="0">
                  <c:v>Count of Trainee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pivot_table_2!$G$7:$G$12</c:f>
              <c:strCache>
                <c:ptCount val="6"/>
                <c:pt idx="0">
                  <c:v>Marketing</c:v>
                </c:pt>
                <c:pt idx="1">
                  <c:v>IT</c:v>
                </c:pt>
                <c:pt idx="2">
                  <c:v>Engineering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pivot_table_2!$H$7:$H$12</c:f>
              <c:numCache>
                <c:formatCode>General</c:formatCode>
                <c:ptCount val="6"/>
                <c:pt idx="0">
                  <c:v>12</c:v>
                </c:pt>
                <c:pt idx="1">
                  <c:v>9</c:v>
                </c:pt>
                <c:pt idx="2">
                  <c:v>9</c:v>
                </c:pt>
                <c:pt idx="3">
                  <c:v>7</c:v>
                </c:pt>
                <c:pt idx="4">
                  <c:v>9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D-43E6-8CD2-7759E1CD3F3F}"/>
            </c:ext>
          </c:extLst>
        </c:ser>
        <c:ser>
          <c:idx val="1"/>
          <c:order val="1"/>
          <c:tx>
            <c:strRef>
              <c:f>pivot_table_2!$I$6</c:f>
              <c:strCache>
                <c:ptCount val="1"/>
                <c:pt idx="0">
                  <c:v>Count of Training 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pivot_table_2!$G$7:$G$12</c:f>
              <c:strCache>
                <c:ptCount val="6"/>
                <c:pt idx="0">
                  <c:v>Marketing</c:v>
                </c:pt>
                <c:pt idx="1">
                  <c:v>IT</c:v>
                </c:pt>
                <c:pt idx="2">
                  <c:v>Engineering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pivot_table_2!$I$7:$I$12</c:f>
              <c:numCache>
                <c:formatCode>General</c:formatCode>
                <c:ptCount val="6"/>
                <c:pt idx="0">
                  <c:v>7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FD-43E6-8CD2-7759E1CD3F3F}"/>
            </c:ext>
          </c:extLst>
        </c:ser>
        <c:ser>
          <c:idx val="2"/>
          <c:order val="2"/>
          <c:tx>
            <c:strRef>
              <c:f>pivot_table_2!$J$6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pivot_table_2!$J$7:$J$12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FEFD-43E6-8CD2-7759E1CD3F3F}"/>
            </c:ext>
          </c:extLst>
        </c:ser>
        <c:ser>
          <c:idx val="3"/>
          <c:order val="3"/>
          <c:tx>
            <c:strRef>
              <c:f>pivot_table_2!$K$6</c:f>
              <c:strCache>
                <c:ptCount val="1"/>
                <c:pt idx="0">
                  <c:v>Selected Department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pivot_table_2!$K$7:$K$12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FD-43E6-8CD2-7759E1CD3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08444935"/>
        <c:axId val="41427976"/>
      </c:barChart>
      <c:catAx>
        <c:axId val="1608444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B0F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27976"/>
        <c:crosses val="autoZero"/>
        <c:auto val="1"/>
        <c:lblAlgn val="ctr"/>
        <c:lblOffset val="100"/>
        <c:noMultiLvlLbl val="0"/>
      </c:catAx>
      <c:valAx>
        <c:axId val="41427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4493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solidFill>
            <a:schemeClr val="accent4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pivot_table_2!$H$21" fmlaRange="pivot_table_2!$G$7:$G$12" sel="4" val="0"/>
</file>

<file path=xl/ctrlProps/ctrlProp2.xml><?xml version="1.0" encoding="utf-8"?>
<formControlPr xmlns="http://schemas.microsoft.com/office/spreadsheetml/2009/9/main" objectType="Drop" dropStyle="combo" dx="22" fmlaLink="Pivot_table!$AB$18" fmlaRange="Pivot_table!$W$5:$W$10" noThreeD="1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image" Target="../media/image1.png"/><Relationship Id="rId7" Type="http://schemas.openxmlformats.org/officeDocument/2006/relationships/chart" Target="../charts/chart12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1.xml"/><Relationship Id="rId5" Type="http://schemas.openxmlformats.org/officeDocument/2006/relationships/image" Target="../media/image3.png"/><Relationship Id="rId10" Type="http://schemas.openxmlformats.org/officeDocument/2006/relationships/chart" Target="../charts/chart15.xml"/><Relationship Id="rId4" Type="http://schemas.openxmlformats.org/officeDocument/2006/relationships/image" Target="../media/image2.png"/><Relationship Id="rId9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358047</xdr:colOff>
      <xdr:row>14</xdr:row>
      <xdr:rowOff>140121</xdr:rowOff>
    </xdr:from>
    <xdr:to>
      <xdr:col>13</xdr:col>
      <xdr:colOff>302964</xdr:colOff>
      <xdr:row>31</xdr:row>
      <xdr:rowOff>149646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9F843564-28ED-C1B4-5806-E8102B202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169545</xdr:colOff>
      <xdr:row>10</xdr:row>
      <xdr:rowOff>72390</xdr:rowOff>
    </xdr:from>
    <xdr:to>
      <xdr:col>5</xdr:col>
      <xdr:colOff>776514</xdr:colOff>
      <xdr:row>25</xdr:row>
      <xdr:rowOff>72390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B64D11A6-52F3-6B34-9637-92BA77C54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38100</xdr:colOff>
      <xdr:row>12</xdr:row>
      <xdr:rowOff>119062</xdr:rowOff>
    </xdr:from>
    <xdr:to>
      <xdr:col>23</xdr:col>
      <xdr:colOff>847725</xdr:colOff>
      <xdr:row>27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27C067-CDFD-8DC4-1E0C-37DF5BA89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533399</xdr:colOff>
      <xdr:row>22</xdr:row>
      <xdr:rowOff>76197</xdr:rowOff>
    </xdr:from>
    <xdr:to>
      <xdr:col>13</xdr:col>
      <xdr:colOff>424542</xdr:colOff>
      <xdr:row>37</xdr:row>
      <xdr:rowOff>97969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8D20C78D-FF31-AF0E-4D6F-D9B7398A6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533400</xdr:colOff>
      <xdr:row>14</xdr:row>
      <xdr:rowOff>152400</xdr:rowOff>
    </xdr:from>
    <xdr:to>
      <xdr:col>4</xdr:col>
      <xdr:colOff>1247775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7AD97D-4C37-7E34-6BA2-54E80B539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278130</xdr:colOff>
      <xdr:row>2</xdr:row>
      <xdr:rowOff>162877</xdr:rowOff>
    </xdr:from>
    <xdr:to>
      <xdr:col>15</xdr:col>
      <xdr:colOff>582930</xdr:colOff>
      <xdr:row>17</xdr:row>
      <xdr:rowOff>56197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302D2258-EA47-2DB5-24AB-9A0F50AC2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152400</xdr:colOff>
      <xdr:row>31</xdr:row>
      <xdr:rowOff>9524</xdr:rowOff>
    </xdr:from>
    <xdr:to>
      <xdr:col>17</xdr:col>
      <xdr:colOff>457200</xdr:colOff>
      <xdr:row>45</xdr:row>
      <xdr:rowOff>80961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C4FDA1-F358-0A22-888A-0B1BBF632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581025</xdr:colOff>
      <xdr:row>52</xdr:row>
      <xdr:rowOff>166687</xdr:rowOff>
    </xdr:from>
    <xdr:to>
      <xdr:col>16</xdr:col>
      <xdr:colOff>276225</xdr:colOff>
      <xdr:row>67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E7E86C-0C19-96A4-2C86-0D2A89075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12</xdr:col>
      <xdr:colOff>514350</xdr:colOff>
      <xdr:row>62</xdr:row>
      <xdr:rowOff>28575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45C0EF4-F10A-70B4-91CD-1D1B25D1FC93}"/>
            </a:ext>
          </a:extLst>
        </xdr:cNvPr>
        <xdr:cNvSpPr txBox="1"/>
      </xdr:nvSpPr>
      <xdr:spPr>
        <a:xfrm>
          <a:off x="11668125" y="1183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0.42917</cdr:x>
      <cdr:y>0.36632</cdr:y>
    </cdr:from>
    <cdr:to>
      <cdr:x>0.62917</cdr:x>
      <cdr:y>0.5816</cdr:y>
    </cdr:to>
    <cdr:sp macro="" textlink="Pivot_table_3!$H$34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14D2CC5-CF99-A320-766C-8F876F4E1080}"/>
            </a:ext>
          </a:extLst>
        </cdr:cNvPr>
        <cdr:cNvSpPr txBox="1"/>
      </cdr:nvSpPr>
      <cdr:spPr>
        <a:xfrm xmlns:a="http://schemas.openxmlformats.org/drawingml/2006/main">
          <a:off x="1962150" y="1004888"/>
          <a:ext cx="914400" cy="590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4E94978C-5A5C-45DC-AAB5-27935CBD42B6}" type="TxLink">
            <a:rPr lang="en-US" sz="2400" b="0" i="0" u="none" strike="noStrike" kern="1200">
              <a:solidFill>
                <a:srgbClr val="00FFFF"/>
              </a:solidFill>
              <a:latin typeface="Aptos Narrow"/>
            </a:rPr>
            <a:pPr/>
            <a:t>74%</a:t>
          </a:fld>
          <a:endParaRPr lang="en-IN" sz="2400" kern="1200">
            <a:solidFill>
              <a:srgbClr val="00FFFF"/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0.44167</cdr:x>
      <cdr:y>0.50521</cdr:y>
    </cdr:from>
    <cdr:to>
      <cdr:x>0.61667</cdr:x>
      <cdr:y>0.76215</cdr:y>
    </cdr:to>
    <cdr:sp macro="" textlink="Pivot_table_3!$H$55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FCF8C45-2458-70EA-EC1C-B22DCACBE425}"/>
            </a:ext>
          </a:extLst>
        </cdr:cNvPr>
        <cdr:cNvSpPr txBox="1"/>
      </cdr:nvSpPr>
      <cdr:spPr>
        <a:xfrm xmlns:a="http://schemas.openxmlformats.org/drawingml/2006/main">
          <a:off x="2019300" y="1385888"/>
          <a:ext cx="800100" cy="704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4D1A861F-61BF-4784-9F2E-29C22C6A4AAB}" type="TxLink">
            <a:rPr lang="en-US" sz="2400" b="0" i="0" u="none" strike="noStrike" kern="1200">
              <a:solidFill>
                <a:srgbClr val="00FFFF"/>
              </a:solidFill>
              <a:latin typeface="Aptos Narrow"/>
            </a:rPr>
            <a:pPr/>
            <a:t>34%</a:t>
          </a:fld>
          <a:endParaRPr lang="en-IN" sz="2400" kern="1200">
            <a:solidFill>
              <a:srgbClr val="00FFFF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277510</xdr:colOff>
      <xdr:row>0</xdr:row>
      <xdr:rowOff>169223</xdr:rowOff>
    </xdr:from>
    <xdr:to>
      <xdr:col>39</xdr:col>
      <xdr:colOff>312760</xdr:colOff>
      <xdr:row>5</xdr:row>
      <xdr:rowOff>118541</xdr:rowOff>
    </xdr:to>
    <xdr:sp macro="" textlink="">
      <xdr:nvSpPr>
        <xdr:cNvPr id="53" name="Rectangle: Rounded Corners 1">
          <a:extLst>
            <a:ext uri="{FF2B5EF4-FFF2-40B4-BE49-F238E27FC236}">
              <a16:creationId xmlns:a16="http://schemas.microsoft.com/office/drawing/2014/main" id="{92EC5D69-CBEB-E153-7B7B-7E6B2AC51944}"/>
            </a:ext>
          </a:extLst>
        </xdr:cNvPr>
        <xdr:cNvSpPr/>
      </xdr:nvSpPr>
      <xdr:spPr>
        <a:xfrm>
          <a:off x="277510" y="169223"/>
          <a:ext cx="23876183" cy="873385"/>
        </a:xfrm>
        <a:prstGeom prst="roundRect">
          <a:avLst/>
        </a:prstGeom>
        <a:solidFill>
          <a:srgbClr val="262962"/>
        </a:solidFill>
        <a:effectLst>
          <a:glow rad="63500">
            <a:schemeClr val="accent3">
              <a:lumMod val="60000"/>
              <a:lumOff val="40000"/>
            </a:schemeClr>
          </a:glow>
          <a:outerShdw blurRad="50800" dist="38100" dir="2700000" algn="tl" rotWithShape="0">
            <a:schemeClr val="tx2">
              <a:lumMod val="50000"/>
              <a:lumOff val="50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 </a:t>
          </a:r>
          <a:r>
            <a:rPr lang="en-IN" sz="4000" baseline="0">
              <a:solidFill>
                <a:schemeClr val="accent1">
                  <a:lumMod val="40000"/>
                  <a:lumOff val="60000"/>
                </a:schemeClr>
              </a:solidFill>
              <a:latin typeface="Bahnschrift SemiBold SemiConden" panose="020B0502040204020203" pitchFamily="34" charset="0"/>
            </a:rPr>
            <a:t>EMPLOYEE  SKILL &amp; TRAINING TRACKER</a:t>
          </a:r>
          <a:endParaRPr lang="en-IN" sz="4000">
            <a:solidFill>
              <a:schemeClr val="accent1">
                <a:lumMod val="40000"/>
                <a:lumOff val="60000"/>
              </a:schemeClr>
            </a:solidFill>
            <a:latin typeface="Bahnschrift SemiBold SemiConden" panose="020B0502040204020203" pitchFamily="34" charset="0"/>
          </a:endParaRPr>
        </a:p>
      </xdr:txBody>
    </xdr:sp>
    <xdr:clientData/>
  </xdr:twoCellAnchor>
  <xdr:twoCellAnchor>
    <xdr:from>
      <xdr:col>0</xdr:col>
      <xdr:colOff>227659</xdr:colOff>
      <xdr:row>6</xdr:row>
      <xdr:rowOff>172394</xdr:rowOff>
    </xdr:from>
    <xdr:to>
      <xdr:col>5</xdr:col>
      <xdr:colOff>536620</xdr:colOff>
      <xdr:row>14</xdr:row>
      <xdr:rowOff>19994</xdr:rowOff>
    </xdr:to>
    <xdr:sp macro="" textlink="">
      <xdr:nvSpPr>
        <xdr:cNvPr id="4152" name="Rectangle: Rounded Corners 4">
          <a:extLst>
            <a:ext uri="{FF2B5EF4-FFF2-40B4-BE49-F238E27FC236}">
              <a16:creationId xmlns:a16="http://schemas.microsoft.com/office/drawing/2014/main" id="{DF7E4874-3AF3-81A9-1C5D-56F91FEC89FE}"/>
            </a:ext>
          </a:extLst>
        </xdr:cNvPr>
        <xdr:cNvSpPr/>
      </xdr:nvSpPr>
      <xdr:spPr>
        <a:xfrm>
          <a:off x="227659" y="1299295"/>
          <a:ext cx="3327447" cy="1350136"/>
        </a:xfrm>
        <a:prstGeom prst="roundRect">
          <a:avLst/>
        </a:prstGeom>
        <a:solidFill>
          <a:srgbClr val="262962"/>
        </a:solidFill>
        <a:effectLst>
          <a:glow rad="63500">
            <a:schemeClr val="accent3">
              <a:lumMod val="60000"/>
              <a:lumOff val="40000"/>
            </a:schemeClr>
          </a:glow>
          <a:outerShdw blurRad="50800" dist="50800" dir="5400000" algn="ctr" rotWithShape="0">
            <a:srgbClr val="000000">
              <a:alpha val="0"/>
            </a:srgbClr>
          </a:outerShdw>
          <a:reflection blurRad="6350" stA="0" endPos="38500" dist="508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                             </a:t>
          </a:r>
          <a:r>
            <a:rPr lang="en-IN" sz="1600">
              <a:solidFill>
                <a:srgbClr val="00FFFF"/>
              </a:solidFill>
            </a:rPr>
            <a:t>TOTAL EMPLOYEES</a:t>
          </a:r>
        </a:p>
      </xdr:txBody>
    </xdr:sp>
    <xdr:clientData/>
  </xdr:twoCellAnchor>
  <xdr:twoCellAnchor>
    <xdr:from>
      <xdr:col>6</xdr:col>
      <xdr:colOff>202376</xdr:colOff>
      <xdr:row>7</xdr:row>
      <xdr:rowOff>11405</xdr:rowOff>
    </xdr:from>
    <xdr:to>
      <xdr:col>11</xdr:col>
      <xdr:colOff>590282</xdr:colOff>
      <xdr:row>14</xdr:row>
      <xdr:rowOff>46822</xdr:rowOff>
    </xdr:to>
    <xdr:sp macro="" textlink="">
      <xdr:nvSpPr>
        <xdr:cNvPr id="4144" name="Rectangle: Rounded Corners 10">
          <a:extLst>
            <a:ext uri="{FF2B5EF4-FFF2-40B4-BE49-F238E27FC236}">
              <a16:creationId xmlns:a16="http://schemas.microsoft.com/office/drawing/2014/main" id="{D64E182F-9D77-4E7E-9E1E-986A2E2340FF}"/>
            </a:ext>
          </a:extLst>
        </xdr:cNvPr>
        <xdr:cNvSpPr/>
      </xdr:nvSpPr>
      <xdr:spPr>
        <a:xfrm>
          <a:off x="3824559" y="1326123"/>
          <a:ext cx="3406392" cy="1350136"/>
        </a:xfrm>
        <a:prstGeom prst="roundRect">
          <a:avLst/>
        </a:prstGeom>
        <a:solidFill>
          <a:srgbClr val="262962"/>
        </a:solidFill>
        <a:effectLst>
          <a:glow rad="63500">
            <a:schemeClr val="accent3">
              <a:lumMod val="60000"/>
              <a:lumOff val="40000"/>
            </a:schemeClr>
          </a:glow>
          <a:outerShdw blurRad="50800" dist="50800" dir="5400000" algn="ctr" rotWithShape="0">
            <a:srgbClr val="000000">
              <a:alpha val="0"/>
            </a:srgbClr>
          </a:outerShdw>
          <a:reflection blurRad="6350" stA="0" endPos="38500" dist="508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                     </a:t>
          </a:r>
          <a:r>
            <a:rPr lang="en-IN" sz="1600">
              <a:solidFill>
                <a:srgbClr val="00FFFF"/>
              </a:solidFill>
            </a:rPr>
            <a:t>TRAINING</a:t>
          </a:r>
          <a:r>
            <a:rPr lang="en-IN" sz="1600" baseline="0">
              <a:solidFill>
                <a:srgbClr val="00FFFF"/>
              </a:solidFill>
            </a:rPr>
            <a:t> COMPLETED</a:t>
          </a:r>
          <a:endParaRPr lang="en-IN" sz="1600">
            <a:solidFill>
              <a:srgbClr val="00FFFF"/>
            </a:solidFill>
          </a:endParaRPr>
        </a:p>
      </xdr:txBody>
    </xdr:sp>
    <xdr:clientData/>
  </xdr:twoCellAnchor>
  <xdr:twoCellAnchor>
    <xdr:from>
      <xdr:col>12</xdr:col>
      <xdr:colOff>254895</xdr:colOff>
      <xdr:row>6</xdr:row>
      <xdr:rowOff>176282</xdr:rowOff>
    </xdr:from>
    <xdr:to>
      <xdr:col>18</xdr:col>
      <xdr:colOff>16112</xdr:colOff>
      <xdr:row>14</xdr:row>
      <xdr:rowOff>23882</xdr:rowOff>
    </xdr:to>
    <xdr:sp macro="" textlink="">
      <xdr:nvSpPr>
        <xdr:cNvPr id="4139" name="Rectangle: Rounded Corners 11">
          <a:extLst>
            <a:ext uri="{FF2B5EF4-FFF2-40B4-BE49-F238E27FC236}">
              <a16:creationId xmlns:a16="http://schemas.microsoft.com/office/drawing/2014/main" id="{243A83DB-2CD5-4040-BF71-3FA3CDD2BD91}"/>
            </a:ext>
          </a:extLst>
        </xdr:cNvPr>
        <xdr:cNvSpPr/>
      </xdr:nvSpPr>
      <xdr:spPr>
        <a:xfrm>
          <a:off x="7499261" y="1303183"/>
          <a:ext cx="3383400" cy="1350136"/>
        </a:xfrm>
        <a:prstGeom prst="roundRect">
          <a:avLst/>
        </a:prstGeom>
        <a:solidFill>
          <a:srgbClr val="262962"/>
        </a:solidFill>
        <a:effectLst>
          <a:glow rad="63500">
            <a:srgbClr val="00B050"/>
          </a:glow>
          <a:outerShdw blurRad="50800" dist="50800" dir="5400000" algn="ctr" rotWithShape="0">
            <a:srgbClr val="000000">
              <a:alpha val="0"/>
            </a:srgbClr>
          </a:outerShdw>
          <a:reflection blurRad="6350" stA="0" endPos="38500" dist="508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       </a:t>
          </a:r>
          <a:r>
            <a:rPr lang="en-IN" sz="1600">
              <a:solidFill>
                <a:srgbClr val="00FFFF"/>
              </a:solidFill>
            </a:rPr>
            <a:t>TRAINING NOT COMPLETED</a:t>
          </a:r>
        </a:p>
      </xdr:txBody>
    </xdr:sp>
    <xdr:clientData/>
  </xdr:twoCellAnchor>
  <xdr:twoCellAnchor>
    <xdr:from>
      <xdr:col>0</xdr:col>
      <xdr:colOff>257764</xdr:colOff>
      <xdr:row>15</xdr:row>
      <xdr:rowOff>114181</xdr:rowOff>
    </xdr:from>
    <xdr:to>
      <xdr:col>18</xdr:col>
      <xdr:colOff>14431</xdr:colOff>
      <xdr:row>34</xdr:row>
      <xdr:rowOff>169969</xdr:rowOff>
    </xdr:to>
    <xdr:graphicFrame macro="">
      <xdr:nvGraphicFramePr>
        <xdr:cNvPr id="4127" name="Chart 14">
          <a:extLst>
            <a:ext uri="{FF2B5EF4-FFF2-40B4-BE49-F238E27FC236}">
              <a16:creationId xmlns:a16="http://schemas.microsoft.com/office/drawing/2014/main" id="{708EBD12-C3AB-40D8-A099-50B6329010E7}"/>
            </a:ext>
            <a:ext uri="{147F2762-F138-4A5C-976F-8EAC2B608ADB}">
              <a16:predDERef xmlns:a16="http://schemas.microsoft.com/office/drawing/2014/main" pred="{243A83DB-2CD5-4040-BF71-3FA3CDD2BD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252131</xdr:colOff>
      <xdr:row>36</xdr:row>
      <xdr:rowOff>14006</xdr:rowOff>
    </xdr:from>
    <xdr:to>
      <xdr:col>18</xdr:col>
      <xdr:colOff>0</xdr:colOff>
      <xdr:row>56</xdr:row>
      <xdr:rowOff>112058</xdr:rowOff>
    </xdr:to>
    <xdr:graphicFrame macro="">
      <xdr:nvGraphicFramePr>
        <xdr:cNvPr id="4120" name="Chart 3">
          <a:extLst>
            <a:ext uri="{FF2B5EF4-FFF2-40B4-BE49-F238E27FC236}">
              <a16:creationId xmlns:a16="http://schemas.microsoft.com/office/drawing/2014/main" id="{85BAB8DC-7746-4C04-B00F-DA35F97B428E}"/>
            </a:ext>
            <a:ext uri="{147F2762-F138-4A5C-976F-8EAC2B608ADB}">
              <a16:predDERef xmlns:a16="http://schemas.microsoft.com/office/drawing/2014/main" pred="{23CE16B6-16C7-4D77-80DA-7760B4DDA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342900</xdr:colOff>
          <xdr:row>1</xdr:row>
          <xdr:rowOff>104775</xdr:rowOff>
        </xdr:from>
        <xdr:to>
          <xdr:col>27</xdr:col>
          <xdr:colOff>400050</xdr:colOff>
          <xdr:row>4</xdr:row>
          <xdr:rowOff>190500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5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3</xdr:col>
      <xdr:colOff>146539</xdr:colOff>
      <xdr:row>10</xdr:row>
      <xdr:rowOff>73269</xdr:rowOff>
    </xdr:from>
    <xdr:ext cx="549125" cy="493918"/>
    <xdr:sp macro="" textlink="Pivot_table_3!C8">
      <xdr:nvSpPr>
        <xdr:cNvPr id="4" name="TextBox 3">
          <a:extLst>
            <a:ext uri="{FF2B5EF4-FFF2-40B4-BE49-F238E27FC236}">
              <a16:creationId xmlns:a16="http://schemas.microsoft.com/office/drawing/2014/main" id="{2D5B7E58-F5CB-7334-6554-ACAB7D12C166}"/>
            </a:ext>
          </a:extLst>
        </xdr:cNvPr>
        <xdr:cNvSpPr txBox="1"/>
      </xdr:nvSpPr>
      <xdr:spPr>
        <a:xfrm>
          <a:off x="2026958" y="1916817"/>
          <a:ext cx="549125" cy="4939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EF21F28-2F3C-4649-8BA5-922D6CBC048F}" type="TxLink">
            <a:rPr lang="en-US" sz="2400" b="0" i="0" u="none" strike="noStrike">
              <a:solidFill>
                <a:schemeClr val="bg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pPr/>
            <a:t>53</a:t>
          </a:fld>
          <a:endParaRPr lang="en-IN" sz="2400">
            <a:solidFill>
              <a:schemeClr val="bg1"/>
            </a:solidFill>
            <a:latin typeface="ADLaM Display" panose="020F0502020204030204" pitchFamily="2" charset="0"/>
            <a:ea typeface="ADLaM Display" panose="020F0502020204030204" pitchFamily="2" charset="0"/>
            <a:cs typeface="ADLaM Display" panose="020F0502020204030204" pitchFamily="2" charset="0"/>
          </a:endParaRPr>
        </a:p>
      </xdr:txBody>
    </xdr:sp>
    <xdr:clientData/>
  </xdr:oneCellAnchor>
  <xdr:oneCellAnchor>
    <xdr:from>
      <xdr:col>9</xdr:col>
      <xdr:colOff>223052</xdr:colOff>
      <xdr:row>10</xdr:row>
      <xdr:rowOff>126931</xdr:rowOff>
    </xdr:from>
    <xdr:ext cx="553613" cy="493918"/>
    <xdr:sp macro="" textlink="Pivot_table_3!C7">
      <xdr:nvSpPr>
        <xdr:cNvPr id="5" name="TextBox 4">
          <a:extLst>
            <a:ext uri="{FF2B5EF4-FFF2-40B4-BE49-F238E27FC236}">
              <a16:creationId xmlns:a16="http://schemas.microsoft.com/office/drawing/2014/main" id="{2A381450-6FF0-3214-D01D-B183D1364F8E}"/>
            </a:ext>
          </a:extLst>
        </xdr:cNvPr>
        <xdr:cNvSpPr txBox="1"/>
      </xdr:nvSpPr>
      <xdr:spPr>
        <a:xfrm>
          <a:off x="5864310" y="1970479"/>
          <a:ext cx="553613" cy="4939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7CC06D9-1F0A-424C-A061-633037860629}" type="TxLink">
            <a:rPr lang="en-US" sz="2400" b="0" i="0" u="none" strike="noStrike">
              <a:solidFill>
                <a:schemeClr val="bg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pPr/>
            <a:t>28</a:t>
          </a:fld>
          <a:endParaRPr lang="en-IN" sz="2400">
            <a:solidFill>
              <a:schemeClr val="bg1"/>
            </a:solidFill>
            <a:latin typeface="ADLaM Display" panose="020F0502020204030204" pitchFamily="2" charset="0"/>
            <a:ea typeface="ADLaM Display" panose="020F0502020204030204" pitchFamily="2" charset="0"/>
            <a:cs typeface="ADLaM Display" panose="020F0502020204030204" pitchFamily="2" charset="0"/>
          </a:endParaRPr>
        </a:p>
      </xdr:txBody>
    </xdr:sp>
    <xdr:clientData/>
  </xdr:oneCellAnchor>
  <xdr:oneCellAnchor>
    <xdr:from>
      <xdr:col>15</xdr:col>
      <xdr:colOff>92728</xdr:colOff>
      <xdr:row>10</xdr:row>
      <xdr:rowOff>95530</xdr:rowOff>
    </xdr:from>
    <xdr:ext cx="546303" cy="493918"/>
    <xdr:sp macro="" textlink="Pivot_table_3!C6">
      <xdr:nvSpPr>
        <xdr:cNvPr id="8" name="TextBox 7">
          <a:extLst>
            <a:ext uri="{FF2B5EF4-FFF2-40B4-BE49-F238E27FC236}">
              <a16:creationId xmlns:a16="http://schemas.microsoft.com/office/drawing/2014/main" id="{370B7A19-DA62-402F-4A6A-D167D37B3F8A}"/>
            </a:ext>
          </a:extLst>
        </xdr:cNvPr>
        <xdr:cNvSpPr txBox="1"/>
      </xdr:nvSpPr>
      <xdr:spPr>
        <a:xfrm>
          <a:off x="9494825" y="1939078"/>
          <a:ext cx="546303" cy="4939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F7CE68AF-AF7D-4A7A-8448-D3E9FDED65B4}" type="TxLink">
            <a:rPr lang="en-US" sz="2400" b="0" i="0" u="none" strike="noStrike">
              <a:solidFill>
                <a:schemeClr val="bg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pPr/>
            <a:t>25</a:t>
          </a:fld>
          <a:endParaRPr lang="en-IN" sz="2400">
            <a:solidFill>
              <a:schemeClr val="bg1"/>
            </a:solidFill>
            <a:latin typeface="ADLaM Display" panose="020F0502020204030204" pitchFamily="2" charset="0"/>
            <a:ea typeface="ADLaM Display" panose="020F0502020204030204" pitchFamily="2" charset="0"/>
            <a:cs typeface="ADLaM Display" panose="020F0502020204030204" pitchFamily="2" charset="0"/>
          </a:endParaRPr>
        </a:p>
      </xdr:txBody>
    </xdr:sp>
    <xdr:clientData/>
  </xdr:oneCellAnchor>
  <xdr:twoCellAnchor editAs="oneCell">
    <xdr:from>
      <xdr:col>0</xdr:col>
      <xdr:colOff>376815</xdr:colOff>
      <xdr:row>8</xdr:row>
      <xdr:rowOff>1</xdr:rowOff>
    </xdr:from>
    <xdr:to>
      <xdr:col>2</xdr:col>
      <xdr:colOff>20517</xdr:colOff>
      <xdr:row>12</xdr:row>
      <xdr:rowOff>166287</xdr:rowOff>
    </xdr:to>
    <xdr:pic>
      <xdr:nvPicPr>
        <xdr:cNvPr id="30" name="Picture 9">
          <a:extLst>
            <a:ext uri="{FF2B5EF4-FFF2-40B4-BE49-F238E27FC236}">
              <a16:creationId xmlns:a16="http://schemas.microsoft.com/office/drawing/2014/main" id="{D19CAC22-47FC-7B8A-C8B6-3A7311F31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815" y="1507254"/>
          <a:ext cx="900164" cy="900164"/>
        </a:xfrm>
        <a:prstGeom prst="rect">
          <a:avLst/>
        </a:prstGeom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104775</xdr:colOff>
          <xdr:row>1</xdr:row>
          <xdr:rowOff>133350</xdr:rowOff>
        </xdr:from>
        <xdr:to>
          <xdr:col>38</xdr:col>
          <xdr:colOff>161925</xdr:colOff>
          <xdr:row>4</xdr:row>
          <xdr:rowOff>171450</xdr:rowOff>
        </xdr:to>
        <xdr:sp macro="" textlink="">
          <xdr:nvSpPr>
            <xdr:cNvPr id="4098" name="Drop Dow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348802</xdr:colOff>
      <xdr:row>7</xdr:row>
      <xdr:rowOff>160986</xdr:rowOff>
    </xdr:from>
    <xdr:to>
      <xdr:col>8</xdr:col>
      <xdr:colOff>24791</xdr:colOff>
      <xdr:row>12</xdr:row>
      <xdr:rowOff>172255</xdr:rowOff>
    </xdr:to>
    <xdr:pic>
      <xdr:nvPicPr>
        <xdr:cNvPr id="20" name="Picture 17">
          <a:extLst>
            <a:ext uri="{FF2B5EF4-FFF2-40B4-BE49-F238E27FC236}">
              <a16:creationId xmlns:a16="http://schemas.microsoft.com/office/drawing/2014/main" id="{4EA5753F-BD05-5018-A558-5FAE3A222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0985" y="1475704"/>
          <a:ext cx="925669" cy="925669"/>
        </a:xfrm>
        <a:prstGeom prst="rect">
          <a:avLst/>
        </a:prstGeom>
      </xdr:spPr>
    </xdr:pic>
    <xdr:clientData/>
  </xdr:twoCellAnchor>
  <xdr:twoCellAnchor editAs="oneCell">
    <xdr:from>
      <xdr:col>12</xdr:col>
      <xdr:colOff>265977</xdr:colOff>
      <xdr:row>8</xdr:row>
      <xdr:rowOff>0</xdr:rowOff>
    </xdr:from>
    <xdr:to>
      <xdr:col>13</xdr:col>
      <xdr:colOff>589499</xdr:colOff>
      <xdr:row>13</xdr:row>
      <xdr:rowOff>21372</xdr:rowOff>
    </xdr:to>
    <xdr:pic>
      <xdr:nvPicPr>
        <xdr:cNvPr id="63" name="Picture 19">
          <a:extLst>
            <a:ext uri="{FF2B5EF4-FFF2-40B4-BE49-F238E27FC236}">
              <a16:creationId xmlns:a16="http://schemas.microsoft.com/office/drawing/2014/main" id="{B4C5A9F4-0D6C-9F88-F1B9-1BA0F28FA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9716" y="1457739"/>
          <a:ext cx="948362" cy="935772"/>
        </a:xfrm>
        <a:prstGeom prst="rect">
          <a:avLst/>
        </a:prstGeom>
      </xdr:spPr>
    </xdr:pic>
    <xdr:clientData/>
  </xdr:twoCellAnchor>
  <xdr:twoCellAnchor>
    <xdr:from>
      <xdr:col>18</xdr:col>
      <xdr:colOff>298545</xdr:colOff>
      <xdr:row>6</xdr:row>
      <xdr:rowOff>138267</xdr:rowOff>
    </xdr:from>
    <xdr:to>
      <xdr:col>28</xdr:col>
      <xdr:colOff>375227</xdr:colOff>
      <xdr:row>30</xdr:row>
      <xdr:rowOff>122904</xdr:rowOff>
    </xdr:to>
    <xdr:sp macro="" textlink="">
      <xdr:nvSpPr>
        <xdr:cNvPr id="4109" name="Rectangle: Rounded Corners 8">
          <a:extLst>
            <a:ext uri="{FF2B5EF4-FFF2-40B4-BE49-F238E27FC236}">
              <a16:creationId xmlns:a16="http://schemas.microsoft.com/office/drawing/2014/main" id="{FA425DF2-6C4D-7BE2-4740-AA6EF17242CC}"/>
            </a:ext>
          </a:extLst>
        </xdr:cNvPr>
        <xdr:cNvSpPr/>
      </xdr:nvSpPr>
      <xdr:spPr>
        <a:xfrm>
          <a:off x="11302052" y="1247148"/>
          <a:ext cx="6189742" cy="4420159"/>
        </a:xfrm>
        <a:prstGeom prst="roundRect">
          <a:avLst/>
        </a:prstGeom>
        <a:solidFill>
          <a:srgbClr val="262962"/>
        </a:solidFill>
        <a:ln>
          <a:noFill/>
        </a:ln>
        <a:effectLst>
          <a:glow rad="101600">
            <a:schemeClr val="accent3">
              <a:lumMod val="60000"/>
              <a:lumOff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101022</xdr:colOff>
      <xdr:row>6</xdr:row>
      <xdr:rowOff>153628</xdr:rowOff>
    </xdr:from>
    <xdr:to>
      <xdr:col>39</xdr:col>
      <xdr:colOff>331931</xdr:colOff>
      <xdr:row>30</xdr:row>
      <xdr:rowOff>122902</xdr:rowOff>
    </xdr:to>
    <xdr:sp macro="" textlink="">
      <xdr:nvSpPr>
        <xdr:cNvPr id="4102" name="Rectangle: Rounded Corners 9">
          <a:extLst>
            <a:ext uri="{FF2B5EF4-FFF2-40B4-BE49-F238E27FC236}">
              <a16:creationId xmlns:a16="http://schemas.microsoft.com/office/drawing/2014/main" id="{99ABC470-1DD5-DEE4-8E9A-AA81763E1B66}"/>
            </a:ext>
          </a:extLst>
        </xdr:cNvPr>
        <xdr:cNvSpPr/>
      </xdr:nvSpPr>
      <xdr:spPr>
        <a:xfrm>
          <a:off x="17678977" y="1279310"/>
          <a:ext cx="6292272" cy="4472001"/>
        </a:xfrm>
        <a:prstGeom prst="roundRect">
          <a:avLst/>
        </a:prstGeom>
        <a:solidFill>
          <a:srgbClr val="262962"/>
        </a:solidFill>
        <a:effectLst>
          <a:glow rad="101600">
            <a:schemeClr val="accent3">
              <a:lumMod val="60000"/>
              <a:lumOff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362192</xdr:colOff>
      <xdr:row>8</xdr:row>
      <xdr:rowOff>121041</xdr:rowOff>
    </xdr:from>
    <xdr:to>
      <xdr:col>38</xdr:col>
      <xdr:colOff>316103</xdr:colOff>
      <xdr:row>29</xdr:row>
      <xdr:rowOff>10243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47041A2-A5DC-43BE-B256-31037B2E7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284328</xdr:colOff>
      <xdr:row>32</xdr:row>
      <xdr:rowOff>101023</xdr:rowOff>
    </xdr:from>
    <xdr:to>
      <xdr:col>39</xdr:col>
      <xdr:colOff>346363</xdr:colOff>
      <xdr:row>56</xdr:row>
      <xdr:rowOff>72158</xdr:rowOff>
    </xdr:to>
    <xdr:sp macro="" textlink="">
      <xdr:nvSpPr>
        <xdr:cNvPr id="4115" name="Rectangle: Rounded Corners 18">
          <a:extLst>
            <a:ext uri="{FF2B5EF4-FFF2-40B4-BE49-F238E27FC236}">
              <a16:creationId xmlns:a16="http://schemas.microsoft.com/office/drawing/2014/main" id="{71E3FE5F-5165-DDD6-A779-62C2781C4CD8}"/>
            </a:ext>
          </a:extLst>
        </xdr:cNvPr>
        <xdr:cNvSpPr/>
      </xdr:nvSpPr>
      <xdr:spPr>
        <a:xfrm>
          <a:off x="11287835" y="6015053"/>
          <a:ext cx="12899461" cy="4406657"/>
        </a:xfrm>
        <a:prstGeom prst="roundRect">
          <a:avLst/>
        </a:prstGeom>
        <a:solidFill>
          <a:srgbClr val="262962"/>
        </a:solidFill>
        <a:effectLst>
          <a:glow rad="101600">
            <a:schemeClr val="accent3">
              <a:lumMod val="60000"/>
              <a:lumOff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203984</xdr:colOff>
      <xdr:row>33</xdr:row>
      <xdr:rowOff>116099</xdr:rowOff>
    </xdr:from>
    <xdr:to>
      <xdr:col>33</xdr:col>
      <xdr:colOff>218415</xdr:colOff>
      <xdr:row>56</xdr:row>
      <xdr:rowOff>43940</xdr:rowOff>
    </xdr:to>
    <xdr:graphicFrame macro="">
      <xdr:nvGraphicFramePr>
        <xdr:cNvPr id="18" name="Chart 21">
          <a:extLst>
            <a:ext uri="{FF2B5EF4-FFF2-40B4-BE49-F238E27FC236}">
              <a16:creationId xmlns:a16="http://schemas.microsoft.com/office/drawing/2014/main" id="{B1DC0F92-F573-4675-9694-0381CF8D1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483358</xdr:colOff>
      <xdr:row>34</xdr:row>
      <xdr:rowOff>-1</xdr:rowOff>
    </xdr:from>
    <xdr:to>
      <xdr:col>25</xdr:col>
      <xdr:colOff>192998</xdr:colOff>
      <xdr:row>54</xdr:row>
      <xdr:rowOff>127947</xdr:rowOff>
    </xdr:to>
    <xdr:graphicFrame macro="">
      <xdr:nvGraphicFramePr>
        <xdr:cNvPr id="31" name="Chart 23">
          <a:extLst>
            <a:ext uri="{FF2B5EF4-FFF2-40B4-BE49-F238E27FC236}">
              <a16:creationId xmlns:a16="http://schemas.microsoft.com/office/drawing/2014/main" id="{0A832DA1-A8E4-47DB-976D-D5DFA0150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355411</xdr:colOff>
      <xdr:row>33</xdr:row>
      <xdr:rowOff>85299</xdr:rowOff>
    </xdr:from>
    <xdr:to>
      <xdr:col>39</xdr:col>
      <xdr:colOff>28434</xdr:colOff>
      <xdr:row>54</xdr:row>
      <xdr:rowOff>113733</xdr:rowOff>
    </xdr:to>
    <xdr:graphicFrame macro="">
      <xdr:nvGraphicFramePr>
        <xdr:cNvPr id="28" name="Chart 26">
          <a:extLst>
            <a:ext uri="{FF2B5EF4-FFF2-40B4-BE49-F238E27FC236}">
              <a16:creationId xmlns:a16="http://schemas.microsoft.com/office/drawing/2014/main" id="{25DC9A21-D274-4FCC-A4CC-617996EDA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364434</xdr:colOff>
      <xdr:row>6</xdr:row>
      <xdr:rowOff>132522</xdr:rowOff>
    </xdr:from>
    <xdr:to>
      <xdr:col>28</xdr:col>
      <xdr:colOff>397566</xdr:colOff>
      <xdr:row>30</xdr:row>
      <xdr:rowOff>149088</xdr:rowOff>
    </xdr:to>
    <xdr:graphicFrame macro="">
      <xdr:nvGraphicFramePr>
        <xdr:cNvPr id="13" name="Chart 25">
          <a:extLst>
            <a:ext uri="{FF2B5EF4-FFF2-40B4-BE49-F238E27FC236}">
              <a16:creationId xmlns:a16="http://schemas.microsoft.com/office/drawing/2014/main" id="{C7498851-7B6D-4D2B-A892-B12B07E1AF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0.42917</cdr:x>
      <cdr:y>0.47107</cdr:y>
    </cdr:from>
    <cdr:to>
      <cdr:x>0.62917</cdr:x>
      <cdr:y>0.5816</cdr:y>
    </cdr:to>
    <cdr:sp macro="" textlink="Pivot_table_3!$H$34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14D2CC5-CF99-A320-766C-8F876F4E1080}"/>
            </a:ext>
          </a:extLst>
        </cdr:cNvPr>
        <cdr:cNvSpPr txBox="1"/>
      </cdr:nvSpPr>
      <cdr:spPr>
        <a:xfrm xmlns:a="http://schemas.openxmlformats.org/drawingml/2006/main">
          <a:off x="1932436" y="1645226"/>
          <a:ext cx="900545" cy="3860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4E94978C-5A5C-45DC-AAB5-27935CBD42B6}" type="TxLink">
            <a:rPr lang="en-US" sz="2400" b="0" i="0" u="none" strike="noStrike" kern="1200">
              <a:solidFill>
                <a:srgbClr val="00FFFF"/>
              </a:solidFill>
              <a:latin typeface="Aptos Narrow"/>
            </a:rPr>
            <a:pPr/>
            <a:t>74%</a:t>
          </a:fld>
          <a:endParaRPr lang="en-IN" sz="2400" kern="1200">
            <a:solidFill>
              <a:srgbClr val="00FFFF"/>
            </a:solidFill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0.44167</cdr:x>
      <cdr:y>0.50521</cdr:y>
    </cdr:from>
    <cdr:to>
      <cdr:x>0.61667</cdr:x>
      <cdr:y>0.76215</cdr:y>
    </cdr:to>
    <cdr:sp macro="" textlink="Pivot_table_3!$H$55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FCF8C45-2458-70EA-EC1C-B22DCACBE425}"/>
            </a:ext>
          </a:extLst>
        </cdr:cNvPr>
        <cdr:cNvSpPr txBox="1"/>
      </cdr:nvSpPr>
      <cdr:spPr>
        <a:xfrm xmlns:a="http://schemas.openxmlformats.org/drawingml/2006/main">
          <a:off x="2019300" y="1385888"/>
          <a:ext cx="800100" cy="704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4D1A861F-61BF-4784-9F2E-29C22C6A4AAB}" type="TxLink">
            <a:rPr lang="en-US" sz="2400" b="0" i="0" u="none" strike="noStrike" kern="1200">
              <a:solidFill>
                <a:srgbClr val="00FFFF"/>
              </a:solidFill>
              <a:latin typeface="Aptos Narrow"/>
            </a:rPr>
            <a:pPr/>
            <a:t>34%</a:t>
          </a:fld>
          <a:endParaRPr lang="en-IN" sz="2400" kern="1200">
            <a:solidFill>
              <a:srgbClr val="00FFFF"/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rsh Sah" refreshedDate="45814.75649039352" createdVersion="8" refreshedVersion="8" minRefreshableVersion="3" recordCount="53" xr:uid="{64D377B2-95E6-4BAC-A801-0C9B2AF5FF35}">
  <cacheSource type="worksheet">
    <worksheetSource name="Updated_Employee_Skill_Matrix_1"/>
  </cacheSource>
  <cacheFields count="35">
    <cacheField name="Name" numFmtId="0">
      <sharedItems count="53">
        <s v="Employee_1"/>
        <s v="Employee_2"/>
        <s v="Employee_3"/>
        <s v="Employee_4"/>
        <s v="Employee_5"/>
        <s v="Employee_6"/>
        <s v="Employee_7"/>
        <s v="Employee_8"/>
        <s v="Employee_9"/>
        <s v="Employee_10"/>
        <s v="Employee_11"/>
        <s v="Employee_12"/>
        <s v="Employee_13"/>
        <s v="Employee_14"/>
        <s v="Employee_15"/>
        <s v="Employee_16"/>
        <s v="Employee_17"/>
        <s v="Employee_18"/>
        <s v="Employee_19"/>
        <s v="Employee_20"/>
        <s v="Employee_21"/>
        <s v="Employee_22"/>
        <s v="Employee_23"/>
        <s v="Employee_24"/>
        <s v="Employee_25"/>
        <s v="Employee_26"/>
        <s v="Employee_27"/>
        <s v="Employee_28"/>
        <s v="Employee_29"/>
        <s v="Employee_30"/>
        <s v="Employee_31"/>
        <s v="Employee_32"/>
        <s v="Employee_33"/>
        <s v="Employee_34"/>
        <s v="Employee_35"/>
        <s v="Employee_36"/>
        <s v="Employee_37"/>
        <s v="Employee_38"/>
        <s v="Employee_39"/>
        <s v="Employee_40"/>
        <s v="Employee_41"/>
        <s v="Employee_42"/>
        <s v="Employee_43"/>
        <s v="Employee_44"/>
        <s v="Employee_45"/>
        <s v="Employee_46"/>
        <s v="Employee_47"/>
        <s v="Employee_48"/>
        <s v="Employee_49"/>
        <s v="Employee_50"/>
        <s v="employee_51"/>
        <s v="Employee_52"/>
        <s v="Amployee_53"/>
      </sharedItems>
    </cacheField>
    <cacheField name="Department" numFmtId="0">
      <sharedItems count="6">
        <s v="IT"/>
        <s v="HR"/>
        <s v="Engineering"/>
        <s v="Marketing"/>
        <s v="Sales"/>
        <s v="Finance"/>
      </sharedItems>
    </cacheField>
    <cacheField name="Emp_ID" numFmtId="0">
      <sharedItems/>
    </cacheField>
    <cacheField name="Role" numFmtId="0">
      <sharedItems/>
    </cacheField>
    <cacheField name="Skill_Name" numFmtId="0">
      <sharedItems count="6">
        <s v="Data Analysis"/>
        <s v="Project Management"/>
        <s v="Java"/>
        <s v="Excel"/>
        <s v="Leadership"/>
        <s v="Python"/>
      </sharedItems>
    </cacheField>
    <cacheField name="Skill_Level" numFmtId="0">
      <sharedItems containsSemiMixedTypes="0" containsString="0" containsNumber="1" containsInteger="1" minValue="1" maxValue="5"/>
    </cacheField>
    <cacheField name="Training_Completed" numFmtId="0">
      <sharedItems count="2">
        <s v="No"/>
        <s v="Yes"/>
      </sharedItems>
    </cacheField>
    <cacheField name="Certifications_Earned" numFmtId="0">
      <sharedItems count="6">
        <s v="Six Sigma"/>
        <s v="AWS Certified"/>
        <s v="None"/>
        <s v="Google Data Analyst"/>
        <s v="PMP"/>
        <s v="Scrum Master"/>
      </sharedItems>
    </cacheField>
    <cacheField name="Training_Status" numFmtId="0">
      <sharedItems/>
    </cacheField>
    <cacheField name="Feedback_&amp;_Comments" numFmtId="0">
      <sharedItems/>
    </cacheField>
    <cacheField name="last_review_date" numFmtId="22">
      <sharedItems containsNonDate="0" containsDate="1" containsString="0" containsBlank="1" minDate="2025-03-08T00:00:00" maxDate="2025-06-06T00:00:00"/>
    </cacheField>
    <cacheField name="Color Tag" numFmtId="0">
      <sharedItems/>
    </cacheField>
    <cacheField name="Compliance Asset Id" numFmtId="0">
      <sharedItems/>
    </cacheField>
    <cacheField name="ID" numFmtId="0">
      <sharedItems containsSemiMixedTypes="0" containsString="0" containsNumber="1" containsInteger="1" minValue="1" maxValue="53"/>
    </cacheField>
    <cacheField name="Content Type" numFmtId="0">
      <sharedItems/>
    </cacheField>
    <cacheField name="Modified" numFmtId="22">
      <sharedItems containsSemiMixedTypes="0" containsNonDate="0" containsDate="1" containsString="0" minDate="2025-06-04T03:41:00" maxDate="2025-06-05T20:54:00"/>
    </cacheField>
    <cacheField name="Created" numFmtId="22">
      <sharedItems containsSemiMixedTypes="0" containsNonDate="0" containsDate="1" containsString="0" minDate="2025-06-04T03:41:00" maxDate="2025-06-05T07:08:00"/>
    </cacheField>
    <cacheField name="Created By" numFmtId="0">
      <sharedItems/>
    </cacheField>
    <cacheField name="Modified By" numFmtId="0">
      <sharedItems/>
    </cacheField>
    <cacheField name="Version" numFmtId="0">
      <sharedItems/>
    </cacheField>
    <cacheField name="Attachments" numFmtId="0">
      <sharedItems/>
    </cacheField>
    <cacheField name="Edit" numFmtId="0">
      <sharedItems containsNonDate="0" containsString="0" containsBlank="1"/>
    </cacheField>
    <cacheField name="Type" numFmtId="0">
      <sharedItems containsNonDate="0" containsString="0" containsBlank="1"/>
    </cacheField>
    <cacheField name="Item Child Count" numFmtId="0">
      <sharedItems/>
    </cacheField>
    <cacheField name="Folder Child Count" numFmtId="0">
      <sharedItems/>
    </cacheField>
    <cacheField name="Label setting" numFmtId="0">
      <sharedItems containsNonDate="0" containsString="0" containsBlank="1"/>
    </cacheField>
    <cacheField name="Retention label" numFmtId="0">
      <sharedItems containsNonDate="0" containsString="0" containsBlank="1"/>
    </cacheField>
    <cacheField name="Retention label Applied" numFmtId="0">
      <sharedItems containsNonDate="0" containsString="0" containsBlank="1"/>
    </cacheField>
    <cacheField name="Label applied by" numFmtId="0">
      <sharedItems containsNonDate="0" containsString="0" containsBlank="1"/>
    </cacheField>
    <cacheField name="Item is a Record" numFmtId="0">
      <sharedItems containsNonDate="0" containsString="0" containsBlank="1"/>
    </cacheField>
    <cacheField name="App Created By" numFmtId="0">
      <sharedItems containsBlank="1"/>
    </cacheField>
    <cacheField name="App Modified By" numFmtId="0">
      <sharedItems containsBlank="1"/>
    </cacheField>
    <cacheField name="Completed" numFmtId="0">
      <sharedItems containsSemiMixedTypes="0" containsString="0" containsNumber="1" containsInteger="1" minValue="0" maxValue="1"/>
    </cacheField>
    <cacheField name="Certification Earned" numFmtId="0">
      <sharedItems count="2">
        <s v="Yes"/>
        <s v="No"/>
      </sharedItems>
    </cacheField>
    <cacheField name="Training Required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x v="0"/>
    <s v="E001"/>
    <s v="Analyst"/>
    <x v="0"/>
    <n v="2"/>
    <x v="0"/>
    <x v="0"/>
    <s v="Not Started"/>
    <s v="Excellent"/>
    <d v="2025-04-25T00:00:00"/>
    <s v=""/>
    <s v=""/>
    <n v="1"/>
    <s v="Item"/>
    <d v="2025-06-05T20:28:00"/>
    <d v="2025-06-04T03:41:00"/>
    <s v="[List]"/>
    <s v="[List]"/>
    <s v="2.0"/>
    <s v="0"/>
    <m/>
    <m/>
    <s v="0"/>
    <s v="0"/>
    <m/>
    <m/>
    <m/>
    <m/>
    <m/>
    <m/>
    <s v="OneDrive SyncEngine"/>
    <n v="0"/>
    <x v="0"/>
    <x v="0"/>
  </r>
  <r>
    <x v="1"/>
    <x v="1"/>
    <s v="E002"/>
    <s v="Intern"/>
    <x v="1"/>
    <n v="3"/>
    <x v="1"/>
    <x v="1"/>
    <s v="In Progress"/>
    <s v="Average"/>
    <d v="2025-03-28T00:00:00"/>
    <s v=""/>
    <s v=""/>
    <n v="2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1"/>
  </r>
  <r>
    <x v="2"/>
    <x v="2"/>
    <s v="E003"/>
    <s v="Developer"/>
    <x v="2"/>
    <n v="5"/>
    <x v="1"/>
    <x v="2"/>
    <s v="Completed"/>
    <s v="Excellent"/>
    <d v="2025-05-15T00:00:00"/>
    <s v=""/>
    <s v=""/>
    <n v="3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1"/>
    <x v="1"/>
  </r>
  <r>
    <x v="3"/>
    <x v="3"/>
    <s v="E004"/>
    <s v="Intern"/>
    <x v="0"/>
    <n v="4"/>
    <x v="0"/>
    <x v="1"/>
    <s v="In Progress"/>
    <s v="Good"/>
    <d v="2025-05-14T00:00:00"/>
    <s v=""/>
    <s v=""/>
    <n v="4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0"/>
    <x v="0"/>
    <x v="1"/>
  </r>
  <r>
    <x v="4"/>
    <x v="3"/>
    <s v="E005"/>
    <s v="Analyst"/>
    <x v="3"/>
    <n v="4"/>
    <x v="1"/>
    <x v="1"/>
    <s v="In Progress"/>
    <s v="Good"/>
    <d v="2025-04-21T00:00:00"/>
    <s v=""/>
    <s v=""/>
    <n v="5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1"/>
  </r>
  <r>
    <x v="5"/>
    <x v="2"/>
    <s v="E006"/>
    <s v="Intern"/>
    <x v="4"/>
    <n v="3"/>
    <x v="0"/>
    <x v="1"/>
    <s v="Not Started"/>
    <s v="Good"/>
    <d v="2025-03-22T00:00:00"/>
    <s v=""/>
    <s v=""/>
    <n v="6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0"/>
    <x v="0"/>
    <x v="1"/>
  </r>
  <r>
    <x v="6"/>
    <x v="0"/>
    <s v="E007"/>
    <s v="Intern"/>
    <x v="2"/>
    <n v="2"/>
    <x v="1"/>
    <x v="2"/>
    <s v="Not Started"/>
    <s v="Needs Improvement"/>
    <d v="2025-03-27T00:00:00"/>
    <s v=""/>
    <s v=""/>
    <n v="7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1"/>
    <x v="0"/>
  </r>
  <r>
    <x v="7"/>
    <x v="3"/>
    <s v="E008"/>
    <s v="Consultant"/>
    <x v="3"/>
    <n v="2"/>
    <x v="1"/>
    <x v="2"/>
    <s v="Not Started"/>
    <s v="Outstanding"/>
    <d v="2025-04-02T00:00:00"/>
    <s v=""/>
    <s v=""/>
    <n v="8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1"/>
    <x v="0"/>
  </r>
  <r>
    <x v="8"/>
    <x v="4"/>
    <s v="E009"/>
    <s v="Analyst"/>
    <x v="1"/>
    <n v="4"/>
    <x v="1"/>
    <x v="2"/>
    <s v="Not Started"/>
    <s v="Satisfactory"/>
    <d v="2025-04-04T00:00:00"/>
    <s v=""/>
    <s v=""/>
    <n v="9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1"/>
    <x v="1"/>
  </r>
  <r>
    <x v="9"/>
    <x v="1"/>
    <s v="E010"/>
    <s v="Consultant"/>
    <x v="1"/>
    <n v="2"/>
    <x v="0"/>
    <x v="3"/>
    <s v="Not Started"/>
    <s v="Good"/>
    <d v="2025-05-23T00:00:00"/>
    <s v=""/>
    <s v=""/>
    <n v="10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0"/>
    <x v="0"/>
    <x v="0"/>
  </r>
  <r>
    <x v="10"/>
    <x v="2"/>
    <s v="E011"/>
    <s v="Analyst"/>
    <x v="4"/>
    <n v="5"/>
    <x v="0"/>
    <x v="2"/>
    <s v="Not Started"/>
    <s v="Excellent"/>
    <d v="2025-04-28T00:00:00"/>
    <s v=""/>
    <s v=""/>
    <n v="11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0"/>
    <x v="1"/>
    <x v="1"/>
  </r>
  <r>
    <x v="11"/>
    <x v="1"/>
    <s v="E012"/>
    <s v="Developer"/>
    <x v="2"/>
    <n v="2"/>
    <x v="0"/>
    <x v="2"/>
    <s v="Pending"/>
    <s v="Excellent"/>
    <d v="2025-03-08T00:00:00"/>
    <s v=""/>
    <s v=""/>
    <n v="12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0"/>
    <x v="1"/>
    <x v="0"/>
  </r>
  <r>
    <x v="12"/>
    <x v="1"/>
    <s v="E013"/>
    <s v="Team Lead"/>
    <x v="0"/>
    <n v="4"/>
    <x v="0"/>
    <x v="3"/>
    <s v="In Progress"/>
    <s v="Average"/>
    <d v="2025-03-15T00:00:00"/>
    <s v=""/>
    <s v=""/>
    <n v="13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0"/>
    <x v="0"/>
    <x v="1"/>
  </r>
  <r>
    <x v="13"/>
    <x v="5"/>
    <s v="E014"/>
    <s v="Consultant"/>
    <x v="3"/>
    <n v="2"/>
    <x v="1"/>
    <x v="4"/>
    <s v="Not Started"/>
    <s v="Good"/>
    <d v="2025-03-13T00:00:00"/>
    <s v=""/>
    <s v=""/>
    <n v="14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0"/>
  </r>
  <r>
    <x v="14"/>
    <x v="4"/>
    <s v="E015"/>
    <s v="Team Lead"/>
    <x v="0"/>
    <n v="2"/>
    <x v="0"/>
    <x v="5"/>
    <s v="Pending"/>
    <s v="Excellent"/>
    <d v="2025-06-04T00:00:00"/>
    <s v=""/>
    <s v=""/>
    <n v="15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0"/>
    <x v="0"/>
    <x v="0"/>
  </r>
  <r>
    <x v="15"/>
    <x v="3"/>
    <s v="E016"/>
    <s v="Analyst"/>
    <x v="4"/>
    <n v="4"/>
    <x v="0"/>
    <x v="2"/>
    <s v="Not Started"/>
    <s v="Outstanding"/>
    <d v="2025-03-21T00:00:00"/>
    <s v=""/>
    <s v=""/>
    <n v="16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0"/>
    <x v="1"/>
    <x v="1"/>
  </r>
  <r>
    <x v="16"/>
    <x v="2"/>
    <s v="E017"/>
    <s v="Developer"/>
    <x v="1"/>
    <n v="2"/>
    <x v="0"/>
    <x v="0"/>
    <s v="Not Started"/>
    <s v="Excellent"/>
    <d v="2025-04-18T00:00:00"/>
    <s v=""/>
    <s v=""/>
    <n v="17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0"/>
    <x v="0"/>
    <x v="0"/>
  </r>
  <r>
    <x v="17"/>
    <x v="2"/>
    <s v="E018"/>
    <s v="Consultant"/>
    <x v="1"/>
    <n v="1"/>
    <x v="1"/>
    <x v="0"/>
    <s v="Not Started"/>
    <s v="Excellent"/>
    <d v="2025-03-31T00:00:00"/>
    <s v=""/>
    <s v=""/>
    <n v="18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0"/>
  </r>
  <r>
    <x v="18"/>
    <x v="5"/>
    <s v="E019"/>
    <s v="Intern"/>
    <x v="3"/>
    <n v="5"/>
    <x v="1"/>
    <x v="4"/>
    <s v="Completed"/>
    <s v="Needs Improvement"/>
    <d v="2025-04-08T00:00:00"/>
    <s v=""/>
    <s v=""/>
    <n v="19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1"/>
  </r>
  <r>
    <x v="19"/>
    <x v="2"/>
    <s v="E020"/>
    <s v="Intern"/>
    <x v="3"/>
    <n v="5"/>
    <x v="1"/>
    <x v="5"/>
    <s v="In Progress"/>
    <s v="Average"/>
    <d v="2025-03-19T00:00:00"/>
    <s v=""/>
    <s v=""/>
    <n v="20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1"/>
  </r>
  <r>
    <x v="20"/>
    <x v="1"/>
    <s v="E021"/>
    <s v="Team Lead"/>
    <x v="0"/>
    <n v="3"/>
    <x v="1"/>
    <x v="2"/>
    <s v="Not Started"/>
    <s v="Good"/>
    <d v="2025-04-27T00:00:00"/>
    <s v=""/>
    <s v=""/>
    <n v="21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1"/>
    <x v="1"/>
  </r>
  <r>
    <x v="21"/>
    <x v="3"/>
    <s v="E022"/>
    <s v="Consultant"/>
    <x v="0"/>
    <n v="3"/>
    <x v="1"/>
    <x v="3"/>
    <s v="Not Started"/>
    <s v="Good"/>
    <d v="2025-03-14T00:00:00"/>
    <s v=""/>
    <s v=""/>
    <n v="22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1"/>
  </r>
  <r>
    <x v="22"/>
    <x v="1"/>
    <s v="E023"/>
    <s v="Intern"/>
    <x v="0"/>
    <n v="4"/>
    <x v="0"/>
    <x v="3"/>
    <s v="Pending"/>
    <s v="Satisfactory"/>
    <d v="2025-03-21T00:00:00"/>
    <s v=""/>
    <s v=""/>
    <n v="23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0"/>
    <x v="0"/>
    <x v="1"/>
  </r>
  <r>
    <x v="23"/>
    <x v="1"/>
    <s v="E024"/>
    <s v="Developer"/>
    <x v="2"/>
    <n v="1"/>
    <x v="1"/>
    <x v="3"/>
    <s v="Not Started"/>
    <s v="Needs Improvement"/>
    <d v="2025-04-17T00:00:00"/>
    <s v=""/>
    <s v=""/>
    <n v="24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0"/>
  </r>
  <r>
    <x v="24"/>
    <x v="3"/>
    <s v="E025"/>
    <s v="Team Lead"/>
    <x v="4"/>
    <n v="4"/>
    <x v="1"/>
    <x v="5"/>
    <s v="In Progress"/>
    <s v="Excellent"/>
    <d v="2025-05-08T00:00:00"/>
    <s v=""/>
    <s v=""/>
    <n v="25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1"/>
  </r>
  <r>
    <x v="25"/>
    <x v="5"/>
    <s v="E026"/>
    <s v="Team Lead"/>
    <x v="2"/>
    <n v="5"/>
    <x v="1"/>
    <x v="4"/>
    <s v="Not Started"/>
    <s v="Excellent"/>
    <d v="2025-03-09T00:00:00"/>
    <s v=""/>
    <s v=""/>
    <n v="26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1"/>
  </r>
  <r>
    <x v="26"/>
    <x v="0"/>
    <s v="E027"/>
    <s v="Intern"/>
    <x v="3"/>
    <n v="5"/>
    <x v="1"/>
    <x v="5"/>
    <s v="Completed"/>
    <s v="Excellent"/>
    <d v="2025-05-24T00:00:00"/>
    <s v=""/>
    <s v=""/>
    <n v="27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1"/>
  </r>
  <r>
    <x v="27"/>
    <x v="2"/>
    <s v="E028"/>
    <s v="Intern"/>
    <x v="4"/>
    <n v="5"/>
    <x v="1"/>
    <x v="1"/>
    <s v="In Progress"/>
    <s v="Average"/>
    <d v="2025-05-31T00:00:00"/>
    <s v=""/>
    <s v=""/>
    <n v="28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1"/>
  </r>
  <r>
    <x v="28"/>
    <x v="4"/>
    <s v="E029"/>
    <s v="Consultant"/>
    <x v="4"/>
    <n v="3"/>
    <x v="0"/>
    <x v="3"/>
    <s v="In Progress"/>
    <s v="Excellent"/>
    <d v="2025-03-10T00:00:00"/>
    <s v=""/>
    <s v=""/>
    <n v="29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0"/>
    <x v="0"/>
    <x v="1"/>
  </r>
  <r>
    <x v="29"/>
    <x v="1"/>
    <s v="E030"/>
    <s v="Consultant"/>
    <x v="2"/>
    <n v="3"/>
    <x v="1"/>
    <x v="4"/>
    <s v="Not Started"/>
    <s v="Needs Improvement"/>
    <d v="2025-06-04T00:00:00"/>
    <s v=""/>
    <s v=""/>
    <n v="30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1"/>
  </r>
  <r>
    <x v="30"/>
    <x v="1"/>
    <s v="E031"/>
    <s v="Consultant"/>
    <x v="0"/>
    <n v="2"/>
    <x v="0"/>
    <x v="2"/>
    <s v="In Progress"/>
    <s v="Good"/>
    <d v="2025-03-12T00:00:00"/>
    <s v=""/>
    <s v=""/>
    <n v="31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0"/>
    <x v="1"/>
    <x v="0"/>
  </r>
  <r>
    <x v="31"/>
    <x v="0"/>
    <s v="E032"/>
    <s v="Team Lead"/>
    <x v="0"/>
    <n v="3"/>
    <x v="1"/>
    <x v="5"/>
    <s v="In Progress"/>
    <s v="Average"/>
    <d v="2025-04-22T00:00:00"/>
    <s v=""/>
    <s v=""/>
    <n v="32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1"/>
  </r>
  <r>
    <x v="32"/>
    <x v="3"/>
    <s v="E033"/>
    <s v="Intern"/>
    <x v="0"/>
    <n v="5"/>
    <x v="0"/>
    <x v="1"/>
    <s v="In Progress"/>
    <s v="Needs Improvement"/>
    <d v="2025-05-24T00:00:00"/>
    <s v=""/>
    <s v=""/>
    <n v="33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0"/>
    <x v="0"/>
    <x v="1"/>
  </r>
  <r>
    <x v="33"/>
    <x v="5"/>
    <s v="E034"/>
    <s v="Team Lead"/>
    <x v="2"/>
    <n v="4"/>
    <x v="0"/>
    <x v="2"/>
    <s v="Not Started"/>
    <s v="Good"/>
    <d v="2025-03-24T00:00:00"/>
    <s v=""/>
    <s v=""/>
    <n v="34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0"/>
    <x v="1"/>
    <x v="1"/>
  </r>
  <r>
    <x v="34"/>
    <x v="5"/>
    <s v="E035"/>
    <s v="Developer"/>
    <x v="5"/>
    <n v="2"/>
    <x v="0"/>
    <x v="2"/>
    <s v="Not Started"/>
    <s v="Needs Improvement"/>
    <d v="2025-05-25T00:00:00"/>
    <s v=""/>
    <s v=""/>
    <n v="35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0"/>
    <x v="1"/>
    <x v="0"/>
  </r>
  <r>
    <x v="35"/>
    <x v="3"/>
    <s v="E036"/>
    <s v="Consultant"/>
    <x v="1"/>
    <n v="5"/>
    <x v="1"/>
    <x v="3"/>
    <s v="In Progress"/>
    <s v="Good"/>
    <d v="2025-05-18T00:00:00"/>
    <s v=""/>
    <s v=""/>
    <n v="36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1"/>
  </r>
  <r>
    <x v="36"/>
    <x v="0"/>
    <s v="E037"/>
    <s v="Analyst"/>
    <x v="4"/>
    <n v="3"/>
    <x v="1"/>
    <x v="4"/>
    <s v="Completed"/>
    <s v="Satisfactory"/>
    <d v="2025-04-05T00:00:00"/>
    <s v=""/>
    <s v=""/>
    <n v="37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1"/>
  </r>
  <r>
    <x v="37"/>
    <x v="4"/>
    <s v="E038"/>
    <s v="Consultant"/>
    <x v="1"/>
    <n v="5"/>
    <x v="0"/>
    <x v="1"/>
    <s v="Not Started"/>
    <s v="Average"/>
    <d v="2025-03-29T00:00:00"/>
    <s v=""/>
    <s v=""/>
    <n v="38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0"/>
    <x v="0"/>
    <x v="1"/>
  </r>
  <r>
    <x v="38"/>
    <x v="5"/>
    <s v="E039"/>
    <s v="Consultant"/>
    <x v="2"/>
    <n v="1"/>
    <x v="0"/>
    <x v="3"/>
    <s v="Not Started"/>
    <s v="Outstanding"/>
    <d v="2025-03-30T00:00:00"/>
    <s v=""/>
    <s v=""/>
    <n v="39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0"/>
    <x v="0"/>
    <x v="0"/>
  </r>
  <r>
    <x v="39"/>
    <x v="3"/>
    <s v="E040"/>
    <s v="Developer"/>
    <x v="3"/>
    <n v="2"/>
    <x v="0"/>
    <x v="0"/>
    <s v="Not Started"/>
    <s v="Excellent"/>
    <d v="2025-04-20T00:00:00"/>
    <s v=""/>
    <s v=""/>
    <n v="40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0"/>
    <x v="0"/>
    <x v="0"/>
  </r>
  <r>
    <x v="40"/>
    <x v="2"/>
    <s v="E041"/>
    <s v="Team Lead"/>
    <x v="1"/>
    <n v="4"/>
    <x v="0"/>
    <x v="1"/>
    <s v="Pending"/>
    <s v="Good"/>
    <d v="2025-03-26T00:00:00"/>
    <s v=""/>
    <s v=""/>
    <n v="41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0"/>
    <x v="0"/>
    <x v="1"/>
  </r>
  <r>
    <x v="41"/>
    <x v="3"/>
    <s v="E042"/>
    <s v="Intern"/>
    <x v="0"/>
    <n v="1"/>
    <x v="0"/>
    <x v="3"/>
    <s v="Pending"/>
    <s v="Excellent"/>
    <d v="2025-03-13T00:00:00"/>
    <s v=""/>
    <s v=""/>
    <n v="42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0"/>
    <x v="0"/>
    <x v="0"/>
  </r>
  <r>
    <x v="42"/>
    <x v="0"/>
    <s v="E043"/>
    <s v="Developer"/>
    <x v="4"/>
    <n v="3"/>
    <x v="1"/>
    <x v="3"/>
    <s v="Not Started"/>
    <s v="Good"/>
    <d v="2025-03-09T00:00:00"/>
    <s v=""/>
    <s v=""/>
    <n v="43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1"/>
  </r>
  <r>
    <x v="43"/>
    <x v="3"/>
    <s v="E044"/>
    <s v="Team Lead"/>
    <x v="5"/>
    <n v="4"/>
    <x v="1"/>
    <x v="1"/>
    <s v="In Progress"/>
    <s v="Needs Improvement"/>
    <d v="2025-05-10T00:00:00"/>
    <s v=""/>
    <s v=""/>
    <n v="44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1"/>
  </r>
  <r>
    <x v="44"/>
    <x v="2"/>
    <s v="E045"/>
    <s v="Intern"/>
    <x v="1"/>
    <n v="3"/>
    <x v="0"/>
    <x v="2"/>
    <s v="Pending"/>
    <s v="Excellent"/>
    <d v="2025-04-25T00:00:00"/>
    <s v=""/>
    <s v=""/>
    <n v="45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0"/>
    <x v="1"/>
    <x v="1"/>
  </r>
  <r>
    <x v="45"/>
    <x v="4"/>
    <s v="E046"/>
    <s v="Team Lead"/>
    <x v="5"/>
    <n v="3"/>
    <x v="1"/>
    <x v="3"/>
    <s v="Completed"/>
    <s v="Satisfactory"/>
    <d v="2025-03-29T00:00:00"/>
    <s v=""/>
    <s v=""/>
    <n v="46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1"/>
  </r>
  <r>
    <x v="46"/>
    <x v="0"/>
    <s v="E047"/>
    <s v="Team Lead"/>
    <x v="1"/>
    <n v="1"/>
    <x v="1"/>
    <x v="4"/>
    <s v="Not Started"/>
    <s v="Average"/>
    <d v="2025-04-09T00:00:00"/>
    <s v=""/>
    <s v=""/>
    <n v="47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0"/>
  </r>
  <r>
    <x v="47"/>
    <x v="3"/>
    <s v="E048"/>
    <s v="Team Lead"/>
    <x v="2"/>
    <n v="3"/>
    <x v="1"/>
    <x v="5"/>
    <s v="Completed"/>
    <s v="Needs Improvement"/>
    <d v="2025-03-30T00:00:00"/>
    <s v=""/>
    <s v=""/>
    <n v="48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1"/>
  </r>
  <r>
    <x v="48"/>
    <x v="5"/>
    <s v="E049"/>
    <s v="Analyst"/>
    <x v="4"/>
    <n v="3"/>
    <x v="1"/>
    <x v="0"/>
    <s v="Not Started"/>
    <s v="Excellent"/>
    <d v="2025-05-29T00:00:00"/>
    <s v=""/>
    <s v=""/>
    <n v="49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1"/>
  </r>
  <r>
    <x v="49"/>
    <x v="4"/>
    <s v="E050"/>
    <s v="Team Lead"/>
    <x v="3"/>
    <n v="3"/>
    <x v="1"/>
    <x v="1"/>
    <s v="In Progress"/>
    <s v="Good"/>
    <d v="2025-04-15T00:00:00"/>
    <s v=""/>
    <s v=""/>
    <n v="50"/>
    <s v="Item"/>
    <d v="2025-06-04T03:41:00"/>
    <d v="2025-06-04T03:41:00"/>
    <s v="[List]"/>
    <s v="[List]"/>
    <s v="1.0"/>
    <s v="0"/>
    <m/>
    <m/>
    <s v="0"/>
    <s v="0"/>
    <m/>
    <m/>
    <m/>
    <m/>
    <m/>
    <m/>
    <m/>
    <n v="1"/>
    <x v="0"/>
    <x v="1"/>
  </r>
  <r>
    <x v="50"/>
    <x v="4"/>
    <s v="E051"/>
    <s v="Analyst"/>
    <x v="2"/>
    <n v="3"/>
    <x v="0"/>
    <x v="2"/>
    <s v="In Progress"/>
    <s v=""/>
    <m/>
    <s v=""/>
    <s v=""/>
    <n v="51"/>
    <s v="Item"/>
    <d v="2025-06-05T06:01:00"/>
    <d v="2025-06-05T05:35:00"/>
    <s v="[List]"/>
    <s v="[List]"/>
    <s v="2.0"/>
    <s v="0"/>
    <m/>
    <m/>
    <s v="0"/>
    <s v="0"/>
    <m/>
    <m/>
    <m/>
    <m/>
    <m/>
    <s v="OneDrive SyncEngine"/>
    <s v="OneDrive SyncEngine"/>
    <n v="0"/>
    <x v="1"/>
    <x v="1"/>
  </r>
  <r>
    <x v="51"/>
    <x v="0"/>
    <s v="E052"/>
    <s v="Analyst"/>
    <x v="3"/>
    <n v="2"/>
    <x v="0"/>
    <x v="2"/>
    <s v=""/>
    <s v=""/>
    <d v="2025-06-05T00:00:00"/>
    <s v=""/>
    <s v=""/>
    <n v="52"/>
    <s v="Item"/>
    <d v="2025-06-05T05:58:00"/>
    <d v="2025-06-05T05:58:00"/>
    <s v="[List]"/>
    <s v="[List]"/>
    <s v="1.0"/>
    <s v="0"/>
    <m/>
    <m/>
    <s v="0"/>
    <s v="0"/>
    <m/>
    <m/>
    <m/>
    <m/>
    <m/>
    <s v="OneDrive SyncEngine"/>
    <s v="OneDrive SyncEngine"/>
    <n v="0"/>
    <x v="1"/>
    <x v="0"/>
  </r>
  <r>
    <x v="52"/>
    <x v="0"/>
    <s v="E053"/>
    <s v="Analyst"/>
    <x v="0"/>
    <n v="2"/>
    <x v="0"/>
    <x v="1"/>
    <s v="Pending"/>
    <s v=""/>
    <d v="2025-06-05T00:00:00"/>
    <s v=""/>
    <s v=""/>
    <n v="53"/>
    <s v="Item"/>
    <d v="2025-06-05T20:54:00"/>
    <d v="2025-06-05T07:08:00"/>
    <s v="[List]"/>
    <s v="[List]"/>
    <s v="6.0"/>
    <s v="0"/>
    <m/>
    <m/>
    <s v="0"/>
    <s v="0"/>
    <m/>
    <m/>
    <m/>
    <m/>
    <m/>
    <s v="OneDrive SyncEngine"/>
    <s v="OneDrive SyncEngine"/>
    <n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33D49-16D6-4968-B4FB-CC9063941897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:I11" firstHeaderRow="1" firstDataRow="2" firstDataCol="1"/>
  <pivotFields count="35">
    <pivotField compact="0" outline="0" showAll="0"/>
    <pivotField axis="axisCol" compact="0" outline="0" showAll="0">
      <items count="7">
        <item x="2"/>
        <item x="5"/>
        <item x="1"/>
        <item x="0"/>
        <item x="3"/>
        <item x="4"/>
        <item t="default"/>
      </items>
    </pivotField>
    <pivotField compact="0" outline="0" showAll="0"/>
    <pivotField compact="0" outline="0" showAll="0"/>
    <pivotField axis="axisRow" compact="0" outline="0" showAll="0">
      <items count="7">
        <item x="0"/>
        <item x="3"/>
        <item x="2"/>
        <item x="4"/>
        <item x="1"/>
        <item x="5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Skill_Level" fld="5" subtotal="average" baseField="4" baseItem="0"/>
  </dataFields>
  <formats count="20">
    <format dxfId="20">
      <pivotArea collapsedLevelsAreSubtotals="1" fieldPosition="0">
        <references count="2">
          <reference field="1" count="1" selected="0">
            <x v="2"/>
          </reference>
          <reference field="4" count="1">
            <x v="0"/>
          </reference>
        </references>
      </pivotArea>
    </format>
    <format dxfId="19">
      <pivotArea collapsedLevelsAreSubtotals="1" fieldPosition="0">
        <references count="2">
          <reference field="1" count="1" selected="0">
            <x v="1"/>
          </reference>
          <reference field="4" count="1">
            <x v="2"/>
          </reference>
        </references>
      </pivotArea>
    </format>
    <format dxfId="18">
      <pivotArea collapsedLevelsAreSubtotals="1" fieldPosition="0">
        <references count="2">
          <reference field="1" count="1" selected="0">
            <x v="4"/>
          </reference>
          <reference field="4" count="1">
            <x v="1"/>
          </reference>
        </references>
      </pivotArea>
    </format>
    <format dxfId="17">
      <pivotArea collapsedLevelsAreSubtotals="1" fieldPosition="0">
        <references count="2">
          <reference field="1" count="1" selected="0">
            <x v="0"/>
          </reference>
          <reference field="4" count="1">
            <x v="4"/>
          </reference>
        </references>
      </pivotArea>
    </format>
    <format dxfId="16">
      <pivotArea collapsedLevelsAreSubtotals="1" fieldPosition="0">
        <references count="2">
          <reference field="1" count="1" selected="0">
            <x v="0"/>
          </reference>
          <reference field="4" count="1">
            <x v="3"/>
          </reference>
        </references>
      </pivotArea>
    </format>
    <format dxfId="15">
      <pivotArea collapsedLevelsAreSubtotals="1" fieldPosition="0">
        <references count="2">
          <reference field="1" count="1" selected="0">
            <x v="1"/>
          </reference>
          <reference field="4" count="1">
            <x v="1"/>
          </reference>
        </references>
      </pivotArea>
    </format>
    <format dxfId="14">
      <pivotArea field="4" grandCol="1" collapsedLevelsAreSubtotals="1" axis="axisRow" fieldPosition="0">
        <references count="1">
          <reference field="4" count="1">
            <x v="0"/>
          </reference>
        </references>
      </pivotArea>
    </format>
    <format dxfId="13">
      <pivotArea field="4" grandCol="1" collapsedLevelsAreSubtotals="1" axis="axisRow" fieldPosition="0">
        <references count="1">
          <reference field="4" count="1">
            <x v="2"/>
          </reference>
        </references>
      </pivotArea>
    </format>
    <format dxfId="12">
      <pivotArea field="4" grandCol="1" collapsedLevelsAreSubtotals="1" axis="axisRow" fieldPosition="0">
        <references count="1">
          <reference field="4" count="1">
            <x v="1"/>
          </reference>
        </references>
      </pivotArea>
    </format>
    <format dxfId="11">
      <pivotArea field="4" grandCol="1" collapsedLevelsAreSubtotals="1" axis="axisRow" fieldPosition="0">
        <references count="1">
          <reference field="4" count="1">
            <x v="3"/>
          </reference>
        </references>
      </pivotArea>
    </format>
    <format dxfId="10">
      <pivotArea collapsedLevelsAreSubtotals="1" fieldPosition="0">
        <references count="2">
          <reference field="1" count="1" selected="0">
            <x v="5"/>
          </reference>
          <reference field="4" count="1">
            <x v="4"/>
          </reference>
        </references>
      </pivotArea>
    </format>
    <format dxfId="9">
      <pivotArea collapsedLevelsAreSubtotals="1" fieldPosition="0">
        <references count="2">
          <reference field="1" count="1" selected="0">
            <x v="4"/>
          </reference>
          <reference field="4" count="1">
            <x v="0"/>
          </reference>
        </references>
      </pivotArea>
    </format>
    <format dxfId="8">
      <pivotArea collapsedLevelsAreSubtotals="1" fieldPosition="0">
        <references count="2">
          <reference field="1" count="1" selected="0">
            <x v="2"/>
          </reference>
          <reference field="4" count="1">
            <x v="4"/>
          </reference>
        </references>
      </pivotArea>
    </format>
    <format dxfId="7">
      <pivotArea field="1" grandRow="1" outline="0" collapsedLevelsAreSubtotals="1" axis="axisCol" fieldPosition="0">
        <references count="1">
          <reference field="1" count="1" selected="0">
            <x v="0"/>
          </reference>
        </references>
      </pivotArea>
    </format>
    <format dxfId="6">
      <pivotArea field="1" grandRow="1" outline="0" collapsedLevelsAreSubtotals="1" axis="axisCol" fieldPosition="0">
        <references count="1">
          <reference field="1" count="1" selected="0">
            <x v="1"/>
          </reference>
        </references>
      </pivotArea>
    </format>
    <format dxfId="5">
      <pivotArea field="1" grandRow="1" outline="0" collapsedLevelsAreSubtotals="1" axis="axisCol" fieldPosition="0">
        <references count="1">
          <reference field="1" count="1" selected="0">
            <x v="2"/>
          </reference>
        </references>
      </pivotArea>
    </format>
    <format dxfId="4">
      <pivotArea collapsedLevelsAreSubtotals="1" fieldPosition="0">
        <references count="2">
          <reference field="1" count="3" selected="0">
            <x v="3"/>
            <x v="4"/>
            <x v="5"/>
          </reference>
          <reference field="4" count="1">
            <x v="5"/>
          </reference>
        </references>
      </pivotArea>
    </format>
    <format dxfId="3">
      <pivotArea field="4" grandCol="1" collapsedLevelsAreSubtotals="1" axis="axisRow" fieldPosition="0">
        <references count="1">
          <reference field="4" count="1">
            <x v="5"/>
          </reference>
        </references>
      </pivotArea>
    </format>
    <format dxfId="2">
      <pivotArea field="1" grandRow="1" outline="0" collapsedLevelsAreSubtotals="1" axis="axisCol" fieldPosition="0">
        <references count="1">
          <reference field="1" count="3" selected="0">
            <x v="3"/>
            <x v="4"/>
            <x v="5"/>
          </reference>
        </references>
      </pivotArea>
    </format>
    <format dxfId="1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53666-FDA1-4BEC-B1A4-8BE102881A19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H9" firstHeaderRow="1" firstDataRow="2" firstDataCol="1"/>
  <pivotFields count="35">
    <pivotField compact="0" outline="0" showAll="0"/>
    <pivotField axis="axisCol" compact="0" outline="0" showAll="0">
      <items count="7">
        <item x="2"/>
        <item x="5"/>
        <item x="1"/>
        <item x="0"/>
        <item x="3"/>
        <item x="4"/>
        <item t="default"/>
      </items>
    </pivotField>
    <pivotField compact="0" outline="0" showAll="0"/>
    <pivotField compact="0" outline="0" showAll="0"/>
    <pivotField axis="axisRow" dataField="1" compact="0" outline="0" showAll="0">
      <items count="7">
        <item x="0"/>
        <item x="3"/>
        <item x="2"/>
        <item x="4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Skill_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654358-F2D1-4951-8B09-DEE41F7B0A15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5:J22" firstHeaderRow="1" firstDataRow="1" firstDataCol="1"/>
  <pivotFields count="35">
    <pivotField showAll="0"/>
    <pivotField axis="axisRow" dataField="1" showAll="0">
      <items count="7">
        <item x="2"/>
        <item x="5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epartme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E331C-8D73-4EAD-8BFE-1844A2A81D7F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T4:U11" firstHeaderRow="1" firstDataRow="1" firstDataCol="1"/>
  <pivotFields count="35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0"/>
        <item x="3"/>
        <item x="2"/>
        <item x="4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7">
    <i>
      <x/>
    </i>
    <i>
      <x v="4"/>
    </i>
    <i>
      <x v="2"/>
    </i>
    <i>
      <x v="3"/>
    </i>
    <i>
      <x v="1"/>
    </i>
    <i>
      <x v="5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CB4AD-23A5-4356-8DCF-1DC104389828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6:E13" firstHeaderRow="0" firstDataRow="1" firstDataCol="1" rowPageCount="1" colPageCount="1"/>
  <pivotFields count="35">
    <pivotField axis="axisPage" compact="0" outline="0" showAll="0">
      <items count="54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x="50"/>
        <item x="51"/>
        <item x="52"/>
        <item t="default"/>
      </items>
    </pivotField>
    <pivotField axis="axisRow" compact="0" outline="0" showAll="0" sortType="descending">
      <items count="7">
        <item x="2"/>
        <item x="5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multipleItemSelectionAllowed="1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7">
    <i>
      <x v="4"/>
    </i>
    <i>
      <x v="3"/>
    </i>
    <i>
      <x/>
    </i>
    <i>
      <x v="1"/>
    </i>
    <i>
      <x v="2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Count of Trainee" fld="6" subtotal="count" baseField="1" baseItem="0"/>
    <dataField name="Count of Training Completed" fld="32" baseField="0" baseItem="0"/>
    <dataField name="Average of Training Completed" fld="32" subtotal="average" baseField="1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59609-C3C0-4062-88EB-F46D04CAE05B}" name="PivotTable8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8:C24" firstHeaderRow="1" firstDataRow="1" firstDataCol="1" rowPageCount="1" colPageCount="1"/>
  <pivotFields count="3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1"/>
        <item x="3"/>
        <item x="2"/>
        <item x="4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compact="0" outline="0" showAll="0"/>
  </pivotFields>
  <rowFields count="1">
    <field x="7"/>
  </rowFields>
  <rowItems count="6">
    <i>
      <x/>
    </i>
    <i>
      <x v="1"/>
    </i>
    <i>
      <x v="4"/>
    </i>
    <i>
      <x v="3"/>
    </i>
    <i>
      <x v="5"/>
    </i>
    <i t="grand">
      <x/>
    </i>
  </rowItems>
  <colItems count="1">
    <i/>
  </colItems>
  <pageFields count="1">
    <pageField fld="33" hier="-1"/>
  </pageFields>
  <dataFields count="1">
    <dataField name="Count of Employee" fld="0" subtotal="count" baseField="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F489E4-F992-4C08-AA37-8570A828BAE0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5:C8" firstHeaderRow="1" firstDataRow="1" firstDataCol="1"/>
  <pivotFields count="3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Training_Completed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E10A0-7DD5-499D-9CCB-9264EDC30377}" name="PivotTable10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53:C56" firstHeaderRow="1" firstDataRow="1" firstDataCol="1"/>
  <pivotFields count="3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3">
        <item x="1"/>
        <item x="0"/>
        <item t="default"/>
      </items>
    </pivotField>
  </pivotFields>
  <rowFields count="1">
    <field x="34"/>
  </rowFields>
  <rowItems count="3">
    <i>
      <x/>
    </i>
    <i>
      <x v="1"/>
    </i>
    <i t="grand">
      <x/>
    </i>
  </rowItems>
  <colItems count="1">
    <i/>
  </colItems>
  <dataFields count="1">
    <dataField name="Count of Training Required" fld="3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737D3-3CBD-4BE7-A067-A388E24BC4D0}" name="PivotTable9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2:C35" firstHeaderRow="1" firstDataRow="1" firstDataCol="1"/>
  <pivotFields count="3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3">
        <item x="1"/>
        <item x="0"/>
        <item t="default"/>
      </items>
    </pivotField>
    <pivotField compact="0" outline="0" showAll="0"/>
  </pivotFields>
  <rowFields count="1">
    <field x="33"/>
  </rowFields>
  <rowItems count="3">
    <i>
      <x/>
    </i>
    <i>
      <x v="1"/>
    </i>
    <i t="grand">
      <x/>
    </i>
  </rowItems>
  <colItems count="1">
    <i/>
  </colItems>
  <dataFields count="1">
    <dataField name="Count of Certification Earned" fld="3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819A98-3A85-4FF7-8808-B8486AE39A64}" autoFormatId="16" applyNumberFormats="0" applyBorderFormats="0" applyFontFormats="0" applyPatternFormats="0" applyAlignmentFormats="0" applyWidthHeightFormats="0">
  <queryTableRefresh nextId="57" unboundColumnsRight="3">
    <queryTableFields count="21">
      <queryTableField id="1" name="Name" tableColumnId="1"/>
      <queryTableField id="2" name="Department" tableColumnId="2"/>
      <queryTableField id="3" name="Emp_ID" tableColumnId="3"/>
      <queryTableField id="4" name="Role" tableColumnId="4"/>
      <queryTableField id="5" name="Skill_Name" tableColumnId="5"/>
      <queryTableField id="6" name="Skill_Level" tableColumnId="6"/>
      <queryTableField id="7" name="Training_Completed" tableColumnId="7"/>
      <queryTableField id="8" name="Certifications_Earned" tableColumnId="8"/>
      <queryTableField id="9" name="Training_Status" tableColumnId="9"/>
      <queryTableField id="10" name="Feedback_&amp;_Comments" tableColumnId="10"/>
      <queryTableField id="11" name="last_review_date" tableColumnId="11"/>
      <queryTableField id="48" name="Label setting" tableColumnId="27"/>
      <queryTableField id="49" name="Retention label" tableColumnId="28"/>
      <queryTableField id="50" name="Retention label Applied" tableColumnId="29"/>
      <queryTableField id="51" name="Label applied by" tableColumnId="30"/>
      <queryTableField id="52" name="Item is a Record" tableColumnId="31"/>
      <queryTableField id="53" name="App Created By" tableColumnId="32"/>
      <queryTableField id="54" name="App Modified By" tableColumnId="33"/>
      <queryTableField id="33" dataBound="0" tableColumnId="12"/>
      <queryTableField id="55" dataBound="0" tableColumnId="34"/>
      <queryTableField id="56" dataBound="0" tableColumnId="35"/>
    </queryTableFields>
    <queryTableDeletedFields count="35">
      <deletedField name="Compliance Asset Id"/>
      <deletedField name="Color Tag"/>
      <deletedField name="ID"/>
      <deletedField name="Content Type"/>
      <deletedField name="Modified"/>
      <deletedField name="Created"/>
      <deletedField name="Created By"/>
      <deletedField name="Modified By"/>
      <deletedField name="Version"/>
      <deletedField name="Attachments"/>
      <deletedField name="Edit"/>
      <deletedField name="Type"/>
      <deletedField name="Item Child Count"/>
      <deletedField name="Folder Child Count"/>
      <deletedField name="Label setting"/>
      <deletedField name="Retention label"/>
      <deletedField name="Retention label Applied"/>
      <deletedField name="Label applied by"/>
      <deletedField name="Item is a Record"/>
      <deletedField name="App Created By"/>
      <deletedField name="App Modified By"/>
      <deletedField name="Color Tag"/>
      <deletedField name="Compliance Asset Id"/>
      <deletedField name="ID"/>
      <deletedField name="Content Type"/>
      <deletedField name="Modified"/>
      <deletedField name="Created"/>
      <deletedField name="Created By"/>
      <deletedField name="Modified By"/>
      <deletedField name="Version"/>
      <deletedField name="Attachments"/>
      <deletedField name="Edit"/>
      <deletedField name="Type"/>
      <deletedField name="Item Child Count"/>
      <deletedField name="Folder Child Cou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849A60-A4EB-4810-A60F-96D2C4ECFFEB}" name="Updated_Employee_Skill_Matrix_1" displayName="Updated_Employee_Skill_Matrix_1" ref="A1:U54" tableType="queryTable" totalsRowShown="0">
  <autoFilter ref="A1:U54" xr:uid="{D3849A60-A4EB-4810-A60F-96D2C4ECFFEB}"/>
  <tableColumns count="21">
    <tableColumn id="1" xr3:uid="{7A612EFC-E300-45D2-A7DC-A76C9E0D82D1}" uniqueName="1" name="Name" queryTableFieldId="1"/>
    <tableColumn id="2" xr3:uid="{C3C38886-4C31-4B82-A88F-3723FDC00D81}" uniqueName="2" name="Department" queryTableFieldId="2" dataDxfId="32"/>
    <tableColumn id="3" xr3:uid="{788987E2-0E54-4EAF-97A1-9320AEB57F90}" uniqueName="3" name="Emp_ID" queryTableFieldId="3" dataDxfId="31"/>
    <tableColumn id="4" xr3:uid="{F88446EF-B4B9-47B8-9D1D-5F7714C02017}" uniqueName="4" name="Role" queryTableFieldId="4" dataDxfId="30"/>
    <tableColumn id="5" xr3:uid="{9C02A423-8D59-4266-AD06-BC08F21640B3}" uniqueName="5" name="Skill_Name" queryTableFieldId="5" dataDxfId="29"/>
    <tableColumn id="6" xr3:uid="{B8983D82-9405-4F1C-84A3-48D2A6774192}" uniqueName="6" name="Skill_Level" queryTableFieldId="6"/>
    <tableColumn id="7" xr3:uid="{3D8B3C56-D56A-424B-9E0D-D8BEA5DE6A27}" uniqueName="7" name="Training_Completed" queryTableFieldId="7" dataDxfId="28"/>
    <tableColumn id="8" xr3:uid="{368A4917-95E2-4200-A65E-B423B6B6DFD0}" uniqueName="8" name="Certifications_Earned" queryTableFieldId="8" dataDxfId="27"/>
    <tableColumn id="9" xr3:uid="{3FFCF0DB-3881-4D67-950F-8B9E055F77B6}" uniqueName="9" name="Training_Status" queryTableFieldId="9" dataDxfId="26"/>
    <tableColumn id="10" xr3:uid="{7BFB1534-6C1A-4D11-BBF4-375DFCA54C15}" uniqueName="10" name="Feedback_&amp;_Comments" queryTableFieldId="10" dataDxfId="25"/>
    <tableColumn id="11" xr3:uid="{64ED309C-0C07-4FAC-AF65-5A23FB783A00}" uniqueName="11" name="last_review_date" queryTableFieldId="11" dataDxfId="24"/>
    <tableColumn id="27" xr3:uid="{FF695AC2-EE9C-42EB-A66E-64DC32B48485}" uniqueName="27" name="Label setting" queryTableFieldId="48"/>
    <tableColumn id="28" xr3:uid="{DDCA6A9A-918E-4789-9EFD-46CBA601D63F}" uniqueName="28" name="Retention label" queryTableFieldId="49"/>
    <tableColumn id="29" xr3:uid="{704351D2-4418-47F7-97B2-32004630F218}" uniqueName="29" name="Retention label Applied" queryTableFieldId="50"/>
    <tableColumn id="30" xr3:uid="{F6586DA5-FA72-493E-9CFA-EF52A81EB2F7}" uniqueName="30" name="Label applied by" queryTableFieldId="51"/>
    <tableColumn id="31" xr3:uid="{B34A2DC4-E401-4D3D-A3C2-95D38D891E8A}" uniqueName="31" name="Item is a Record" queryTableFieldId="52"/>
    <tableColumn id="32" xr3:uid="{51B8D63D-EE39-4A98-81DC-8F4C4CB935E9}" uniqueName="32" name="App Created By" queryTableFieldId="53"/>
    <tableColumn id="33" xr3:uid="{CE2983C5-7BA7-42F3-993F-B3DCC3BDC829}" uniqueName="33" name="App Modified By" queryTableFieldId="54"/>
    <tableColumn id="12" xr3:uid="{26206E1B-E3E8-4FE1-BAD7-7AA0DF2C9273}" uniqueName="12" name="Completed" queryTableFieldId="33" dataDxfId="23">
      <calculatedColumnFormula>IF(Updated_Employee_Skill_Matrix_1[[#This Row],[Training_Completed]]="Yes",1,0)</calculatedColumnFormula>
    </tableColumn>
    <tableColumn id="34" xr3:uid="{974573A4-C642-4593-BD0B-15A5BB3B4B32}" uniqueName="34" name="Certification Earned" queryTableFieldId="55" dataDxfId="22">
      <calculatedColumnFormula>IF(Updated_Employee_Skill_Matrix_1[[#This Row],[Certifications_Earned]]="None","No","Yes")</calculatedColumnFormula>
    </tableColumn>
    <tableColumn id="35" xr3:uid="{71A0F229-B87B-4426-9E97-C93FE68EC8CC}" uniqueName="35" name="Training Required" queryTableFieldId="56" dataDxfId="21">
      <calculatedColumnFormula>IF(Updated_Employee_Skill_Matrix_1[[#This Row],[Skill_Level]]&lt;=2,"Yes","No")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438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14F6ACB-7690-49D6-81AE-13CAAB09EDF3}">
  <we:reference id="wa200001584" version="3.0.5.6" store="en-IN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DBC7414E-0987-4250-9920-9A912C65916C}">
  <we:reference id="wa200006068" version="1.0.4.2" store="en-US" storeType="OMEX"/>
  <we:alternateReferences>
    <we:reference id="wa200006068" version="1.0.4.2" store="wa200006068" storeType="OMEX"/>
  </we:alternateReferences>
  <we:properties>
    <we:property name="Office.AutoShowTaskpaneWithDocument" value="true"/>
    <we:property name="workbook-id" value="&quot;5943d1d2-dad7-4bde-bc82-7f24265d4764&quot;"/>
    <we:property name="workbook-title" value="&quot;Employee_Skill_Matrix.xlsx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_xldudf_ROSIE_LLM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8F66-17D5-4E53-B4AB-1A6C3D01F62A}">
  <dimension ref="A1:U54"/>
  <sheetViews>
    <sheetView workbookViewId="0">
      <selection activeCell="U1" sqref="U1"/>
    </sheetView>
  </sheetViews>
  <sheetFormatPr defaultRowHeight="15" x14ac:dyDescent="0.25"/>
  <cols>
    <col min="1" max="1" width="13.28515625" customWidth="1"/>
    <col min="2" max="2" width="14.140625" bestFit="1" customWidth="1"/>
    <col min="3" max="3" width="10.140625" bestFit="1" customWidth="1"/>
    <col min="4" max="4" width="10.5703125" bestFit="1" customWidth="1"/>
    <col min="5" max="5" width="19.28515625" bestFit="1" customWidth="1"/>
    <col min="6" max="6" width="12.85546875" bestFit="1" customWidth="1"/>
    <col min="7" max="7" width="21.7109375" bestFit="1" customWidth="1"/>
    <col min="8" max="8" width="23.140625" bestFit="1" customWidth="1"/>
    <col min="9" max="9" width="17.140625" bestFit="1" customWidth="1"/>
    <col min="10" max="10" width="25.28515625" bestFit="1" customWidth="1"/>
    <col min="11" max="11" width="17.28515625" bestFit="1" customWidth="1"/>
    <col min="12" max="12" width="11.28515625" customWidth="1"/>
    <col min="13" max="13" width="22" bestFit="1" customWidth="1"/>
    <col min="14" max="14" width="5.28515625" bestFit="1" customWidth="1"/>
    <col min="15" max="17" width="15.5703125" bestFit="1" customWidth="1"/>
    <col min="18" max="18" width="12.28515625" bestFit="1" customWidth="1"/>
    <col min="19" max="19" width="13.85546875" bestFit="1" customWidth="1"/>
    <col min="20" max="20" width="10.140625" bestFit="1" customWidth="1"/>
    <col min="21" max="21" width="14.7109375" bestFit="1" customWidth="1"/>
    <col min="22" max="22" width="6.85546875" bestFit="1" customWidth="1"/>
    <col min="23" max="23" width="7.5703125" bestFit="1" customWidth="1"/>
    <col min="24" max="24" width="18.85546875" bestFit="1" customWidth="1"/>
    <col min="25" max="25" width="20.5703125" bestFit="1" customWidth="1"/>
    <col min="26" max="26" width="14.85546875" bestFit="1" customWidth="1"/>
    <col min="27" max="27" width="17.28515625" bestFit="1" customWidth="1"/>
    <col min="28" max="28" width="24.85546875" bestFit="1" customWidth="1"/>
    <col min="29" max="29" width="18" bestFit="1" customWidth="1"/>
    <col min="30" max="30" width="17.85546875" bestFit="1" customWidth="1"/>
    <col min="31" max="31" width="16" bestFit="1" customWidth="1"/>
    <col min="32" max="32" width="16.7109375" bestFit="1" customWidth="1"/>
    <col min="33" max="33" width="13.42578125" bestFit="1" customWidth="1"/>
    <col min="34" max="34" width="20" bestFit="1" customWidth="1"/>
    <col min="35" max="35" width="17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177</v>
      </c>
      <c r="U1" t="s">
        <v>183</v>
      </c>
    </row>
    <row r="2" spans="1:21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</v>
      </c>
      <c r="G2" t="s">
        <v>24</v>
      </c>
      <c r="H2" t="s">
        <v>25</v>
      </c>
      <c r="I2" t="s">
        <v>26</v>
      </c>
      <c r="J2" t="s">
        <v>27</v>
      </c>
      <c r="K2" s="1">
        <v>45772</v>
      </c>
      <c r="R2" t="s">
        <v>189</v>
      </c>
      <c r="S2">
        <f>IF(Updated_Employee_Skill_Matrix_1[[#This Row],[Training_Completed]]="Yes",1,0)</f>
        <v>0</v>
      </c>
      <c r="T2" t="str">
        <f>IF(Updated_Employee_Skill_Matrix_1[[#This Row],[Certifications_Earned]]="None","No","Yes")</f>
        <v>Yes</v>
      </c>
      <c r="U2" t="str">
        <f>IF(Updated_Employee_Skill_Matrix_1[[#This Row],[Skill_Level]]&lt;=2,"Yes","No")</f>
        <v>Yes</v>
      </c>
    </row>
    <row r="3" spans="1:21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>
        <v>3</v>
      </c>
      <c r="G3" t="s">
        <v>34</v>
      </c>
      <c r="H3" t="s">
        <v>35</v>
      </c>
      <c r="I3" t="s">
        <v>36</v>
      </c>
      <c r="J3" t="s">
        <v>37</v>
      </c>
      <c r="K3" s="1">
        <v>45744</v>
      </c>
      <c r="S3">
        <f>IF(Updated_Employee_Skill_Matrix_1[[#This Row],[Training_Completed]]="Yes",1,0)</f>
        <v>1</v>
      </c>
      <c r="T3" t="str">
        <f>IF(Updated_Employee_Skill_Matrix_1[[#This Row],[Certifications_Earned]]="None","No","Yes")</f>
        <v>Yes</v>
      </c>
      <c r="U3" t="str">
        <f>IF(Updated_Employee_Skill_Matrix_1[[#This Row],[Skill_Level]]&lt;=2,"Yes","No")</f>
        <v>No</v>
      </c>
    </row>
    <row r="4" spans="1:21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>
        <v>5</v>
      </c>
      <c r="G4" t="s">
        <v>34</v>
      </c>
      <c r="H4" t="s">
        <v>43</v>
      </c>
      <c r="I4" t="s">
        <v>18</v>
      </c>
      <c r="J4" t="s">
        <v>27</v>
      </c>
      <c r="K4" s="1">
        <v>45792</v>
      </c>
      <c r="S4">
        <f>IF(Updated_Employee_Skill_Matrix_1[[#This Row],[Training_Completed]]="Yes",1,0)</f>
        <v>1</v>
      </c>
      <c r="T4" t="str">
        <f>IF(Updated_Employee_Skill_Matrix_1[[#This Row],[Certifications_Earned]]="None","No","Yes")</f>
        <v>No</v>
      </c>
      <c r="U4" t="str">
        <f>IF(Updated_Employee_Skill_Matrix_1[[#This Row],[Skill_Level]]&lt;=2,"Yes","No")</f>
        <v>No</v>
      </c>
    </row>
    <row r="5" spans="1:21" x14ac:dyDescent="0.25">
      <c r="A5" t="s">
        <v>44</v>
      </c>
      <c r="B5" t="s">
        <v>45</v>
      </c>
      <c r="C5" t="s">
        <v>46</v>
      </c>
      <c r="D5" t="s">
        <v>32</v>
      </c>
      <c r="E5" t="s">
        <v>23</v>
      </c>
      <c r="F5">
        <v>4</v>
      </c>
      <c r="G5" t="s">
        <v>24</v>
      </c>
      <c r="H5" t="s">
        <v>35</v>
      </c>
      <c r="I5" t="s">
        <v>36</v>
      </c>
      <c r="J5" t="s">
        <v>47</v>
      </c>
      <c r="K5" s="1">
        <v>45791</v>
      </c>
      <c r="S5">
        <f>IF(Updated_Employee_Skill_Matrix_1[[#This Row],[Training_Completed]]="Yes",1,0)</f>
        <v>0</v>
      </c>
      <c r="T5" t="str">
        <f>IF(Updated_Employee_Skill_Matrix_1[[#This Row],[Certifications_Earned]]="None","No","Yes")</f>
        <v>Yes</v>
      </c>
      <c r="U5" t="str">
        <f>IF(Updated_Employee_Skill_Matrix_1[[#This Row],[Skill_Level]]&lt;=2,"Yes","No")</f>
        <v>No</v>
      </c>
    </row>
    <row r="6" spans="1:21" x14ac:dyDescent="0.25">
      <c r="A6" t="s">
        <v>48</v>
      </c>
      <c r="B6" t="s">
        <v>45</v>
      </c>
      <c r="C6" t="s">
        <v>49</v>
      </c>
      <c r="D6" t="s">
        <v>22</v>
      </c>
      <c r="E6" t="s">
        <v>50</v>
      </c>
      <c r="F6">
        <v>4</v>
      </c>
      <c r="G6" t="s">
        <v>34</v>
      </c>
      <c r="H6" t="s">
        <v>35</v>
      </c>
      <c r="I6" t="s">
        <v>36</v>
      </c>
      <c r="J6" t="s">
        <v>47</v>
      </c>
      <c r="K6" s="1">
        <v>45768</v>
      </c>
      <c r="S6">
        <f>IF(Updated_Employee_Skill_Matrix_1[[#This Row],[Training_Completed]]="Yes",1,0)</f>
        <v>1</v>
      </c>
      <c r="T6" t="str">
        <f>IF(Updated_Employee_Skill_Matrix_1[[#This Row],[Certifications_Earned]]="None","No","Yes")</f>
        <v>Yes</v>
      </c>
      <c r="U6" t="str">
        <f>IF(Updated_Employee_Skill_Matrix_1[[#This Row],[Skill_Level]]&lt;=2,"Yes","No")</f>
        <v>No</v>
      </c>
    </row>
    <row r="7" spans="1:21" x14ac:dyDescent="0.25">
      <c r="A7" t="s">
        <v>51</v>
      </c>
      <c r="B7" t="s">
        <v>39</v>
      </c>
      <c r="C7" t="s">
        <v>52</v>
      </c>
      <c r="D7" t="s">
        <v>32</v>
      </c>
      <c r="E7" t="s">
        <v>53</v>
      </c>
      <c r="F7">
        <v>3</v>
      </c>
      <c r="G7" t="s">
        <v>24</v>
      </c>
      <c r="H7" t="s">
        <v>35</v>
      </c>
      <c r="I7" t="s">
        <v>26</v>
      </c>
      <c r="J7" t="s">
        <v>47</v>
      </c>
      <c r="K7" s="1">
        <v>45738</v>
      </c>
      <c r="S7">
        <f>IF(Updated_Employee_Skill_Matrix_1[[#This Row],[Training_Completed]]="Yes",1,0)</f>
        <v>0</v>
      </c>
      <c r="T7" t="str">
        <f>IF(Updated_Employee_Skill_Matrix_1[[#This Row],[Certifications_Earned]]="None","No","Yes")</f>
        <v>Yes</v>
      </c>
      <c r="U7" t="str">
        <f>IF(Updated_Employee_Skill_Matrix_1[[#This Row],[Skill_Level]]&lt;=2,"Yes","No")</f>
        <v>No</v>
      </c>
    </row>
    <row r="8" spans="1:21" x14ac:dyDescent="0.25">
      <c r="A8" t="s">
        <v>54</v>
      </c>
      <c r="B8" t="s">
        <v>20</v>
      </c>
      <c r="C8" t="s">
        <v>55</v>
      </c>
      <c r="D8" t="s">
        <v>32</v>
      </c>
      <c r="E8" t="s">
        <v>42</v>
      </c>
      <c r="F8">
        <v>2</v>
      </c>
      <c r="G8" t="s">
        <v>34</v>
      </c>
      <c r="H8" t="s">
        <v>43</v>
      </c>
      <c r="I8" t="s">
        <v>26</v>
      </c>
      <c r="J8" t="s">
        <v>56</v>
      </c>
      <c r="K8" s="1">
        <v>45743</v>
      </c>
      <c r="S8">
        <f>IF(Updated_Employee_Skill_Matrix_1[[#This Row],[Training_Completed]]="Yes",1,0)</f>
        <v>1</v>
      </c>
      <c r="T8" t="str">
        <f>IF(Updated_Employee_Skill_Matrix_1[[#This Row],[Certifications_Earned]]="None","No","Yes")</f>
        <v>No</v>
      </c>
      <c r="U8" t="str">
        <f>IF(Updated_Employee_Skill_Matrix_1[[#This Row],[Skill_Level]]&lt;=2,"Yes","No")</f>
        <v>Yes</v>
      </c>
    </row>
    <row r="9" spans="1:21" x14ac:dyDescent="0.25">
      <c r="A9" t="s">
        <v>57</v>
      </c>
      <c r="B9" t="s">
        <v>45</v>
      </c>
      <c r="C9" t="s">
        <v>58</v>
      </c>
      <c r="D9" t="s">
        <v>59</v>
      </c>
      <c r="E9" t="s">
        <v>50</v>
      </c>
      <c r="F9">
        <v>2</v>
      </c>
      <c r="G9" t="s">
        <v>34</v>
      </c>
      <c r="H9" t="s">
        <v>43</v>
      </c>
      <c r="I9" t="s">
        <v>26</v>
      </c>
      <c r="J9" t="s">
        <v>60</v>
      </c>
      <c r="K9" s="1">
        <v>45749</v>
      </c>
      <c r="S9">
        <f>IF(Updated_Employee_Skill_Matrix_1[[#This Row],[Training_Completed]]="Yes",1,0)</f>
        <v>1</v>
      </c>
      <c r="T9" t="str">
        <f>IF(Updated_Employee_Skill_Matrix_1[[#This Row],[Certifications_Earned]]="None","No","Yes")</f>
        <v>No</v>
      </c>
      <c r="U9" t="str">
        <f>IF(Updated_Employee_Skill_Matrix_1[[#This Row],[Skill_Level]]&lt;=2,"Yes","No")</f>
        <v>Yes</v>
      </c>
    </row>
    <row r="10" spans="1:21" x14ac:dyDescent="0.25">
      <c r="A10" t="s">
        <v>61</v>
      </c>
      <c r="B10" t="s">
        <v>62</v>
      </c>
      <c r="C10" t="s">
        <v>63</v>
      </c>
      <c r="D10" t="s">
        <v>22</v>
      </c>
      <c r="E10" t="s">
        <v>33</v>
      </c>
      <c r="F10">
        <v>4</v>
      </c>
      <c r="G10" t="s">
        <v>34</v>
      </c>
      <c r="H10" t="s">
        <v>43</v>
      </c>
      <c r="I10" t="s">
        <v>26</v>
      </c>
      <c r="J10" t="s">
        <v>64</v>
      </c>
      <c r="K10" s="1">
        <v>45751</v>
      </c>
      <c r="S10">
        <f>IF(Updated_Employee_Skill_Matrix_1[[#This Row],[Training_Completed]]="Yes",1,0)</f>
        <v>1</v>
      </c>
      <c r="T10" t="str">
        <f>IF(Updated_Employee_Skill_Matrix_1[[#This Row],[Certifications_Earned]]="None","No","Yes")</f>
        <v>No</v>
      </c>
      <c r="U10" t="str">
        <f>IF(Updated_Employee_Skill_Matrix_1[[#This Row],[Skill_Level]]&lt;=2,"Yes","No")</f>
        <v>No</v>
      </c>
    </row>
    <row r="11" spans="1:21" x14ac:dyDescent="0.25">
      <c r="A11" t="s">
        <v>65</v>
      </c>
      <c r="B11" t="s">
        <v>30</v>
      </c>
      <c r="C11" t="s">
        <v>66</v>
      </c>
      <c r="D11" t="s">
        <v>59</v>
      </c>
      <c r="E11" t="s">
        <v>33</v>
      </c>
      <c r="F11">
        <v>2</v>
      </c>
      <c r="G11" t="s">
        <v>24</v>
      </c>
      <c r="H11" t="s">
        <v>67</v>
      </c>
      <c r="I11" t="s">
        <v>26</v>
      </c>
      <c r="J11" t="s">
        <v>47</v>
      </c>
      <c r="K11" s="1">
        <v>45800</v>
      </c>
      <c r="S11">
        <f>IF(Updated_Employee_Skill_Matrix_1[[#This Row],[Training_Completed]]="Yes",1,0)</f>
        <v>0</v>
      </c>
      <c r="T11" t="str">
        <f>IF(Updated_Employee_Skill_Matrix_1[[#This Row],[Certifications_Earned]]="None","No","Yes")</f>
        <v>Yes</v>
      </c>
      <c r="U11" t="str">
        <f>IF(Updated_Employee_Skill_Matrix_1[[#This Row],[Skill_Level]]&lt;=2,"Yes","No")</f>
        <v>Yes</v>
      </c>
    </row>
    <row r="12" spans="1:21" x14ac:dyDescent="0.25">
      <c r="A12" t="s">
        <v>68</v>
      </c>
      <c r="B12" t="s">
        <v>39</v>
      </c>
      <c r="C12" t="s">
        <v>69</v>
      </c>
      <c r="D12" t="s">
        <v>22</v>
      </c>
      <c r="E12" t="s">
        <v>53</v>
      </c>
      <c r="F12">
        <v>5</v>
      </c>
      <c r="G12" t="s">
        <v>24</v>
      </c>
      <c r="H12" t="s">
        <v>43</v>
      </c>
      <c r="I12" t="s">
        <v>26</v>
      </c>
      <c r="J12" t="s">
        <v>27</v>
      </c>
      <c r="K12" s="1">
        <v>45775</v>
      </c>
      <c r="S12">
        <f>IF(Updated_Employee_Skill_Matrix_1[[#This Row],[Training_Completed]]="Yes",1,0)</f>
        <v>0</v>
      </c>
      <c r="T12" t="str">
        <f>IF(Updated_Employee_Skill_Matrix_1[[#This Row],[Certifications_Earned]]="None","No","Yes")</f>
        <v>No</v>
      </c>
      <c r="U12" t="str">
        <f>IF(Updated_Employee_Skill_Matrix_1[[#This Row],[Skill_Level]]&lt;=2,"Yes","No")</f>
        <v>No</v>
      </c>
    </row>
    <row r="13" spans="1:21" x14ac:dyDescent="0.25">
      <c r="A13" t="s">
        <v>70</v>
      </c>
      <c r="B13" t="s">
        <v>30</v>
      </c>
      <c r="C13" t="s">
        <v>71</v>
      </c>
      <c r="D13" t="s">
        <v>41</v>
      </c>
      <c r="E13" t="s">
        <v>42</v>
      </c>
      <c r="F13">
        <v>2</v>
      </c>
      <c r="G13" t="s">
        <v>24</v>
      </c>
      <c r="H13" t="s">
        <v>43</v>
      </c>
      <c r="I13" t="s">
        <v>72</v>
      </c>
      <c r="J13" t="s">
        <v>27</v>
      </c>
      <c r="K13" s="1">
        <v>45724</v>
      </c>
      <c r="S13">
        <f>IF(Updated_Employee_Skill_Matrix_1[[#This Row],[Training_Completed]]="Yes",1,0)</f>
        <v>0</v>
      </c>
      <c r="T13" t="str">
        <f>IF(Updated_Employee_Skill_Matrix_1[[#This Row],[Certifications_Earned]]="None","No","Yes")</f>
        <v>No</v>
      </c>
      <c r="U13" t="str">
        <f>IF(Updated_Employee_Skill_Matrix_1[[#This Row],[Skill_Level]]&lt;=2,"Yes","No")</f>
        <v>Yes</v>
      </c>
    </row>
    <row r="14" spans="1:21" x14ac:dyDescent="0.25">
      <c r="A14" t="s">
        <v>73</v>
      </c>
      <c r="B14" t="s">
        <v>30</v>
      </c>
      <c r="C14" t="s">
        <v>74</v>
      </c>
      <c r="D14" t="s">
        <v>75</v>
      </c>
      <c r="E14" t="s">
        <v>23</v>
      </c>
      <c r="F14">
        <v>4</v>
      </c>
      <c r="G14" t="s">
        <v>24</v>
      </c>
      <c r="H14" t="s">
        <v>67</v>
      </c>
      <c r="I14" t="s">
        <v>36</v>
      </c>
      <c r="J14" t="s">
        <v>37</v>
      </c>
      <c r="K14" s="1">
        <v>45731</v>
      </c>
      <c r="S14">
        <f>IF(Updated_Employee_Skill_Matrix_1[[#This Row],[Training_Completed]]="Yes",1,0)</f>
        <v>0</v>
      </c>
      <c r="T14" t="str">
        <f>IF(Updated_Employee_Skill_Matrix_1[[#This Row],[Certifications_Earned]]="None","No","Yes")</f>
        <v>Yes</v>
      </c>
      <c r="U14" t="str">
        <f>IF(Updated_Employee_Skill_Matrix_1[[#This Row],[Skill_Level]]&lt;=2,"Yes","No")</f>
        <v>No</v>
      </c>
    </row>
    <row r="15" spans="1:21" x14ac:dyDescent="0.25">
      <c r="A15" t="s">
        <v>76</v>
      </c>
      <c r="B15" t="s">
        <v>77</v>
      </c>
      <c r="C15" t="s">
        <v>78</v>
      </c>
      <c r="D15" t="s">
        <v>59</v>
      </c>
      <c r="E15" t="s">
        <v>50</v>
      </c>
      <c r="F15">
        <v>2</v>
      </c>
      <c r="G15" t="s">
        <v>34</v>
      </c>
      <c r="H15" t="s">
        <v>79</v>
      </c>
      <c r="I15" t="s">
        <v>26</v>
      </c>
      <c r="J15" t="s">
        <v>47</v>
      </c>
      <c r="K15" s="1">
        <v>45729</v>
      </c>
      <c r="S15">
        <f>IF(Updated_Employee_Skill_Matrix_1[[#This Row],[Training_Completed]]="Yes",1,0)</f>
        <v>1</v>
      </c>
      <c r="T15" t="str">
        <f>IF(Updated_Employee_Skill_Matrix_1[[#This Row],[Certifications_Earned]]="None","No","Yes")</f>
        <v>Yes</v>
      </c>
      <c r="U15" t="str">
        <f>IF(Updated_Employee_Skill_Matrix_1[[#This Row],[Skill_Level]]&lt;=2,"Yes","No")</f>
        <v>Yes</v>
      </c>
    </row>
    <row r="16" spans="1:21" x14ac:dyDescent="0.25">
      <c r="A16" t="s">
        <v>80</v>
      </c>
      <c r="B16" t="s">
        <v>62</v>
      </c>
      <c r="C16" t="s">
        <v>81</v>
      </c>
      <c r="D16" t="s">
        <v>75</v>
      </c>
      <c r="E16" t="s">
        <v>23</v>
      </c>
      <c r="F16">
        <v>2</v>
      </c>
      <c r="G16" t="s">
        <v>24</v>
      </c>
      <c r="H16" t="s">
        <v>82</v>
      </c>
      <c r="I16" t="s">
        <v>72</v>
      </c>
      <c r="J16" t="s">
        <v>27</v>
      </c>
      <c r="K16" s="1">
        <v>45812</v>
      </c>
      <c r="S16">
        <f>IF(Updated_Employee_Skill_Matrix_1[[#This Row],[Training_Completed]]="Yes",1,0)</f>
        <v>0</v>
      </c>
      <c r="T16" t="str">
        <f>IF(Updated_Employee_Skill_Matrix_1[[#This Row],[Certifications_Earned]]="None","No","Yes")</f>
        <v>Yes</v>
      </c>
      <c r="U16" t="str">
        <f>IF(Updated_Employee_Skill_Matrix_1[[#This Row],[Skill_Level]]&lt;=2,"Yes","No")</f>
        <v>Yes</v>
      </c>
    </row>
    <row r="17" spans="1:21" x14ac:dyDescent="0.25">
      <c r="A17" t="s">
        <v>83</v>
      </c>
      <c r="B17" t="s">
        <v>45</v>
      </c>
      <c r="C17" t="s">
        <v>84</v>
      </c>
      <c r="D17" t="s">
        <v>22</v>
      </c>
      <c r="E17" t="s">
        <v>53</v>
      </c>
      <c r="F17">
        <v>4</v>
      </c>
      <c r="G17" t="s">
        <v>24</v>
      </c>
      <c r="H17" t="s">
        <v>43</v>
      </c>
      <c r="I17" t="s">
        <v>26</v>
      </c>
      <c r="J17" t="s">
        <v>60</v>
      </c>
      <c r="K17" s="1">
        <v>45737</v>
      </c>
      <c r="S17">
        <f>IF(Updated_Employee_Skill_Matrix_1[[#This Row],[Training_Completed]]="Yes",1,0)</f>
        <v>0</v>
      </c>
      <c r="T17" t="str">
        <f>IF(Updated_Employee_Skill_Matrix_1[[#This Row],[Certifications_Earned]]="None","No","Yes")</f>
        <v>No</v>
      </c>
      <c r="U17" t="str">
        <f>IF(Updated_Employee_Skill_Matrix_1[[#This Row],[Skill_Level]]&lt;=2,"Yes","No")</f>
        <v>No</v>
      </c>
    </row>
    <row r="18" spans="1:21" x14ac:dyDescent="0.25">
      <c r="A18" t="s">
        <v>85</v>
      </c>
      <c r="B18" t="s">
        <v>39</v>
      </c>
      <c r="C18" t="s">
        <v>86</v>
      </c>
      <c r="D18" t="s">
        <v>41</v>
      </c>
      <c r="E18" t="s">
        <v>33</v>
      </c>
      <c r="F18">
        <v>2</v>
      </c>
      <c r="G18" t="s">
        <v>24</v>
      </c>
      <c r="H18" t="s">
        <v>25</v>
      </c>
      <c r="I18" t="s">
        <v>26</v>
      </c>
      <c r="J18" t="s">
        <v>27</v>
      </c>
      <c r="K18" s="1">
        <v>45765</v>
      </c>
      <c r="S18">
        <f>IF(Updated_Employee_Skill_Matrix_1[[#This Row],[Training_Completed]]="Yes",1,0)</f>
        <v>0</v>
      </c>
      <c r="T18" t="str">
        <f>IF(Updated_Employee_Skill_Matrix_1[[#This Row],[Certifications_Earned]]="None","No","Yes")</f>
        <v>Yes</v>
      </c>
      <c r="U18" t="str">
        <f>IF(Updated_Employee_Skill_Matrix_1[[#This Row],[Skill_Level]]&lt;=2,"Yes","No")</f>
        <v>Yes</v>
      </c>
    </row>
    <row r="19" spans="1:21" x14ac:dyDescent="0.25">
      <c r="A19" t="s">
        <v>87</v>
      </c>
      <c r="B19" t="s">
        <v>39</v>
      </c>
      <c r="C19" t="s">
        <v>88</v>
      </c>
      <c r="D19" t="s">
        <v>59</v>
      </c>
      <c r="E19" t="s">
        <v>33</v>
      </c>
      <c r="F19">
        <v>1</v>
      </c>
      <c r="G19" t="s">
        <v>34</v>
      </c>
      <c r="H19" t="s">
        <v>25</v>
      </c>
      <c r="I19" t="s">
        <v>26</v>
      </c>
      <c r="J19" t="s">
        <v>27</v>
      </c>
      <c r="K19" s="1">
        <v>45747</v>
      </c>
      <c r="S19">
        <f>IF(Updated_Employee_Skill_Matrix_1[[#This Row],[Training_Completed]]="Yes",1,0)</f>
        <v>1</v>
      </c>
      <c r="T19" t="str">
        <f>IF(Updated_Employee_Skill_Matrix_1[[#This Row],[Certifications_Earned]]="None","No","Yes")</f>
        <v>Yes</v>
      </c>
      <c r="U19" t="str">
        <f>IF(Updated_Employee_Skill_Matrix_1[[#This Row],[Skill_Level]]&lt;=2,"Yes","No")</f>
        <v>Yes</v>
      </c>
    </row>
    <row r="20" spans="1:21" x14ac:dyDescent="0.25">
      <c r="A20" t="s">
        <v>89</v>
      </c>
      <c r="B20" t="s">
        <v>77</v>
      </c>
      <c r="C20" t="s">
        <v>90</v>
      </c>
      <c r="D20" t="s">
        <v>32</v>
      </c>
      <c r="E20" t="s">
        <v>50</v>
      </c>
      <c r="F20">
        <v>5</v>
      </c>
      <c r="G20" t="s">
        <v>34</v>
      </c>
      <c r="H20" t="s">
        <v>79</v>
      </c>
      <c r="I20" t="s">
        <v>18</v>
      </c>
      <c r="J20" t="s">
        <v>56</v>
      </c>
      <c r="K20" s="1">
        <v>45755</v>
      </c>
      <c r="S20">
        <f>IF(Updated_Employee_Skill_Matrix_1[[#This Row],[Training_Completed]]="Yes",1,0)</f>
        <v>1</v>
      </c>
      <c r="T20" t="str">
        <f>IF(Updated_Employee_Skill_Matrix_1[[#This Row],[Certifications_Earned]]="None","No","Yes")</f>
        <v>Yes</v>
      </c>
      <c r="U20" t="str">
        <f>IF(Updated_Employee_Skill_Matrix_1[[#This Row],[Skill_Level]]&lt;=2,"Yes","No")</f>
        <v>No</v>
      </c>
    </row>
    <row r="21" spans="1:21" x14ac:dyDescent="0.25">
      <c r="A21" t="s">
        <v>91</v>
      </c>
      <c r="B21" t="s">
        <v>39</v>
      </c>
      <c r="C21" t="s">
        <v>92</v>
      </c>
      <c r="D21" t="s">
        <v>32</v>
      </c>
      <c r="E21" t="s">
        <v>50</v>
      </c>
      <c r="F21">
        <v>5</v>
      </c>
      <c r="G21" t="s">
        <v>34</v>
      </c>
      <c r="H21" t="s">
        <v>82</v>
      </c>
      <c r="I21" t="s">
        <v>36</v>
      </c>
      <c r="J21" t="s">
        <v>37</v>
      </c>
      <c r="K21" s="1">
        <v>45735</v>
      </c>
      <c r="S21">
        <f>IF(Updated_Employee_Skill_Matrix_1[[#This Row],[Training_Completed]]="Yes",1,0)</f>
        <v>1</v>
      </c>
      <c r="T21" t="str">
        <f>IF(Updated_Employee_Skill_Matrix_1[[#This Row],[Certifications_Earned]]="None","No","Yes")</f>
        <v>Yes</v>
      </c>
      <c r="U21" t="str">
        <f>IF(Updated_Employee_Skill_Matrix_1[[#This Row],[Skill_Level]]&lt;=2,"Yes","No")</f>
        <v>No</v>
      </c>
    </row>
    <row r="22" spans="1:21" x14ac:dyDescent="0.25">
      <c r="A22" t="s">
        <v>93</v>
      </c>
      <c r="B22" t="s">
        <v>30</v>
      </c>
      <c r="C22" t="s">
        <v>94</v>
      </c>
      <c r="D22" t="s">
        <v>75</v>
      </c>
      <c r="E22" t="s">
        <v>23</v>
      </c>
      <c r="F22">
        <v>3</v>
      </c>
      <c r="G22" t="s">
        <v>34</v>
      </c>
      <c r="H22" t="s">
        <v>43</v>
      </c>
      <c r="I22" t="s">
        <v>26</v>
      </c>
      <c r="J22" t="s">
        <v>47</v>
      </c>
      <c r="K22" s="1">
        <v>45774</v>
      </c>
      <c r="S22">
        <f>IF(Updated_Employee_Skill_Matrix_1[[#This Row],[Training_Completed]]="Yes",1,0)</f>
        <v>1</v>
      </c>
      <c r="T22" t="str">
        <f>IF(Updated_Employee_Skill_Matrix_1[[#This Row],[Certifications_Earned]]="None","No","Yes")</f>
        <v>No</v>
      </c>
      <c r="U22" t="str">
        <f>IF(Updated_Employee_Skill_Matrix_1[[#This Row],[Skill_Level]]&lt;=2,"Yes","No")</f>
        <v>No</v>
      </c>
    </row>
    <row r="23" spans="1:21" x14ac:dyDescent="0.25">
      <c r="A23" t="s">
        <v>95</v>
      </c>
      <c r="B23" t="s">
        <v>45</v>
      </c>
      <c r="C23" t="s">
        <v>96</v>
      </c>
      <c r="D23" t="s">
        <v>59</v>
      </c>
      <c r="E23" t="s">
        <v>23</v>
      </c>
      <c r="F23">
        <v>3</v>
      </c>
      <c r="G23" t="s">
        <v>34</v>
      </c>
      <c r="H23" t="s">
        <v>67</v>
      </c>
      <c r="I23" t="s">
        <v>26</v>
      </c>
      <c r="J23" t="s">
        <v>47</v>
      </c>
      <c r="K23" s="1">
        <v>45730</v>
      </c>
      <c r="S23">
        <f>IF(Updated_Employee_Skill_Matrix_1[[#This Row],[Training_Completed]]="Yes",1,0)</f>
        <v>1</v>
      </c>
      <c r="T23" t="str">
        <f>IF(Updated_Employee_Skill_Matrix_1[[#This Row],[Certifications_Earned]]="None","No","Yes")</f>
        <v>Yes</v>
      </c>
      <c r="U23" t="str">
        <f>IF(Updated_Employee_Skill_Matrix_1[[#This Row],[Skill_Level]]&lt;=2,"Yes","No")</f>
        <v>No</v>
      </c>
    </row>
    <row r="24" spans="1:21" x14ac:dyDescent="0.25">
      <c r="A24" t="s">
        <v>97</v>
      </c>
      <c r="B24" t="s">
        <v>30</v>
      </c>
      <c r="C24" t="s">
        <v>98</v>
      </c>
      <c r="D24" t="s">
        <v>32</v>
      </c>
      <c r="E24" t="s">
        <v>23</v>
      </c>
      <c r="F24">
        <v>4</v>
      </c>
      <c r="G24" t="s">
        <v>24</v>
      </c>
      <c r="H24" t="s">
        <v>67</v>
      </c>
      <c r="I24" t="s">
        <v>72</v>
      </c>
      <c r="J24" t="s">
        <v>64</v>
      </c>
      <c r="K24" s="1">
        <v>45737</v>
      </c>
      <c r="S24">
        <f>IF(Updated_Employee_Skill_Matrix_1[[#This Row],[Training_Completed]]="Yes",1,0)</f>
        <v>0</v>
      </c>
      <c r="T24" t="str">
        <f>IF(Updated_Employee_Skill_Matrix_1[[#This Row],[Certifications_Earned]]="None","No","Yes")</f>
        <v>Yes</v>
      </c>
      <c r="U24" t="str">
        <f>IF(Updated_Employee_Skill_Matrix_1[[#This Row],[Skill_Level]]&lt;=2,"Yes","No")</f>
        <v>No</v>
      </c>
    </row>
    <row r="25" spans="1:21" x14ac:dyDescent="0.25">
      <c r="A25" t="s">
        <v>99</v>
      </c>
      <c r="B25" t="s">
        <v>30</v>
      </c>
      <c r="C25" t="s">
        <v>100</v>
      </c>
      <c r="D25" t="s">
        <v>41</v>
      </c>
      <c r="E25" t="s">
        <v>42</v>
      </c>
      <c r="F25">
        <v>1</v>
      </c>
      <c r="G25" t="s">
        <v>34</v>
      </c>
      <c r="H25" t="s">
        <v>67</v>
      </c>
      <c r="I25" t="s">
        <v>26</v>
      </c>
      <c r="J25" t="s">
        <v>56</v>
      </c>
      <c r="K25" s="1">
        <v>45764</v>
      </c>
      <c r="S25">
        <f>IF(Updated_Employee_Skill_Matrix_1[[#This Row],[Training_Completed]]="Yes",1,0)</f>
        <v>1</v>
      </c>
      <c r="T25" t="str">
        <f>IF(Updated_Employee_Skill_Matrix_1[[#This Row],[Certifications_Earned]]="None","No","Yes")</f>
        <v>Yes</v>
      </c>
      <c r="U25" t="str">
        <f>IF(Updated_Employee_Skill_Matrix_1[[#This Row],[Skill_Level]]&lt;=2,"Yes","No")</f>
        <v>Yes</v>
      </c>
    </row>
    <row r="26" spans="1:21" x14ac:dyDescent="0.25">
      <c r="A26" t="s">
        <v>101</v>
      </c>
      <c r="B26" t="s">
        <v>45</v>
      </c>
      <c r="C26" t="s">
        <v>102</v>
      </c>
      <c r="D26" t="s">
        <v>75</v>
      </c>
      <c r="E26" t="s">
        <v>53</v>
      </c>
      <c r="F26">
        <v>4</v>
      </c>
      <c r="G26" t="s">
        <v>34</v>
      </c>
      <c r="H26" t="s">
        <v>82</v>
      </c>
      <c r="I26" t="s">
        <v>36</v>
      </c>
      <c r="J26" t="s">
        <v>27</v>
      </c>
      <c r="K26" s="1">
        <v>45785</v>
      </c>
      <c r="S26">
        <f>IF(Updated_Employee_Skill_Matrix_1[[#This Row],[Training_Completed]]="Yes",1,0)</f>
        <v>1</v>
      </c>
      <c r="T26" t="str">
        <f>IF(Updated_Employee_Skill_Matrix_1[[#This Row],[Certifications_Earned]]="None","No","Yes")</f>
        <v>Yes</v>
      </c>
      <c r="U26" t="str">
        <f>IF(Updated_Employee_Skill_Matrix_1[[#This Row],[Skill_Level]]&lt;=2,"Yes","No")</f>
        <v>No</v>
      </c>
    </row>
    <row r="27" spans="1:21" x14ac:dyDescent="0.25">
      <c r="A27" t="s">
        <v>103</v>
      </c>
      <c r="B27" t="s">
        <v>77</v>
      </c>
      <c r="C27" t="s">
        <v>104</v>
      </c>
      <c r="D27" t="s">
        <v>75</v>
      </c>
      <c r="E27" t="s">
        <v>42</v>
      </c>
      <c r="F27">
        <v>5</v>
      </c>
      <c r="G27" t="s">
        <v>34</v>
      </c>
      <c r="H27" t="s">
        <v>79</v>
      </c>
      <c r="I27" t="s">
        <v>26</v>
      </c>
      <c r="J27" t="s">
        <v>27</v>
      </c>
      <c r="K27" s="1">
        <v>45725</v>
      </c>
      <c r="S27">
        <f>IF(Updated_Employee_Skill_Matrix_1[[#This Row],[Training_Completed]]="Yes",1,0)</f>
        <v>1</v>
      </c>
      <c r="T27" t="str">
        <f>IF(Updated_Employee_Skill_Matrix_1[[#This Row],[Certifications_Earned]]="None","No","Yes")</f>
        <v>Yes</v>
      </c>
      <c r="U27" t="str">
        <f>IF(Updated_Employee_Skill_Matrix_1[[#This Row],[Skill_Level]]&lt;=2,"Yes","No")</f>
        <v>No</v>
      </c>
    </row>
    <row r="28" spans="1:21" x14ac:dyDescent="0.25">
      <c r="A28" t="s">
        <v>105</v>
      </c>
      <c r="B28" t="s">
        <v>20</v>
      </c>
      <c r="C28" t="s">
        <v>106</v>
      </c>
      <c r="D28" t="s">
        <v>32</v>
      </c>
      <c r="E28" t="s">
        <v>50</v>
      </c>
      <c r="F28">
        <v>5</v>
      </c>
      <c r="G28" t="s">
        <v>34</v>
      </c>
      <c r="H28" t="s">
        <v>82</v>
      </c>
      <c r="I28" t="s">
        <v>18</v>
      </c>
      <c r="J28" t="s">
        <v>27</v>
      </c>
      <c r="K28" s="1">
        <v>45801</v>
      </c>
      <c r="S28">
        <f>IF(Updated_Employee_Skill_Matrix_1[[#This Row],[Training_Completed]]="Yes",1,0)</f>
        <v>1</v>
      </c>
      <c r="T28" t="str">
        <f>IF(Updated_Employee_Skill_Matrix_1[[#This Row],[Certifications_Earned]]="None","No","Yes")</f>
        <v>Yes</v>
      </c>
      <c r="U28" t="str">
        <f>IF(Updated_Employee_Skill_Matrix_1[[#This Row],[Skill_Level]]&lt;=2,"Yes","No")</f>
        <v>No</v>
      </c>
    </row>
    <row r="29" spans="1:21" x14ac:dyDescent="0.25">
      <c r="A29" t="s">
        <v>107</v>
      </c>
      <c r="B29" t="s">
        <v>39</v>
      </c>
      <c r="C29" t="s">
        <v>108</v>
      </c>
      <c r="D29" t="s">
        <v>32</v>
      </c>
      <c r="E29" t="s">
        <v>53</v>
      </c>
      <c r="F29">
        <v>5</v>
      </c>
      <c r="G29" t="s">
        <v>34</v>
      </c>
      <c r="H29" t="s">
        <v>35</v>
      </c>
      <c r="I29" t="s">
        <v>36</v>
      </c>
      <c r="J29" t="s">
        <v>37</v>
      </c>
      <c r="K29" s="1">
        <v>45808</v>
      </c>
      <c r="S29">
        <f>IF(Updated_Employee_Skill_Matrix_1[[#This Row],[Training_Completed]]="Yes",1,0)</f>
        <v>1</v>
      </c>
      <c r="T29" t="str">
        <f>IF(Updated_Employee_Skill_Matrix_1[[#This Row],[Certifications_Earned]]="None","No","Yes")</f>
        <v>Yes</v>
      </c>
      <c r="U29" t="str">
        <f>IF(Updated_Employee_Skill_Matrix_1[[#This Row],[Skill_Level]]&lt;=2,"Yes","No")</f>
        <v>No</v>
      </c>
    </row>
    <row r="30" spans="1:21" x14ac:dyDescent="0.25">
      <c r="A30" t="s">
        <v>109</v>
      </c>
      <c r="B30" t="s">
        <v>62</v>
      </c>
      <c r="C30" t="s">
        <v>110</v>
      </c>
      <c r="D30" t="s">
        <v>59</v>
      </c>
      <c r="E30" t="s">
        <v>53</v>
      </c>
      <c r="F30">
        <v>3</v>
      </c>
      <c r="G30" t="s">
        <v>24</v>
      </c>
      <c r="H30" t="s">
        <v>67</v>
      </c>
      <c r="I30" t="s">
        <v>36</v>
      </c>
      <c r="J30" t="s">
        <v>27</v>
      </c>
      <c r="K30" s="1">
        <v>45726</v>
      </c>
      <c r="S30">
        <f>IF(Updated_Employee_Skill_Matrix_1[[#This Row],[Training_Completed]]="Yes",1,0)</f>
        <v>0</v>
      </c>
      <c r="T30" t="str">
        <f>IF(Updated_Employee_Skill_Matrix_1[[#This Row],[Certifications_Earned]]="None","No","Yes")</f>
        <v>Yes</v>
      </c>
      <c r="U30" t="str">
        <f>IF(Updated_Employee_Skill_Matrix_1[[#This Row],[Skill_Level]]&lt;=2,"Yes","No")</f>
        <v>No</v>
      </c>
    </row>
    <row r="31" spans="1:21" x14ac:dyDescent="0.25">
      <c r="A31" t="s">
        <v>111</v>
      </c>
      <c r="B31" t="s">
        <v>30</v>
      </c>
      <c r="C31" t="s">
        <v>112</v>
      </c>
      <c r="D31" t="s">
        <v>59</v>
      </c>
      <c r="E31" t="s">
        <v>42</v>
      </c>
      <c r="F31">
        <v>3</v>
      </c>
      <c r="G31" t="s">
        <v>34</v>
      </c>
      <c r="H31" t="s">
        <v>79</v>
      </c>
      <c r="I31" t="s">
        <v>26</v>
      </c>
      <c r="J31" t="s">
        <v>56</v>
      </c>
      <c r="K31" s="1">
        <v>45812</v>
      </c>
      <c r="S31">
        <f>IF(Updated_Employee_Skill_Matrix_1[[#This Row],[Training_Completed]]="Yes",1,0)</f>
        <v>1</v>
      </c>
      <c r="T31" t="str">
        <f>IF(Updated_Employee_Skill_Matrix_1[[#This Row],[Certifications_Earned]]="None","No","Yes")</f>
        <v>Yes</v>
      </c>
      <c r="U31" t="str">
        <f>IF(Updated_Employee_Skill_Matrix_1[[#This Row],[Skill_Level]]&lt;=2,"Yes","No")</f>
        <v>No</v>
      </c>
    </row>
    <row r="32" spans="1:21" x14ac:dyDescent="0.25">
      <c r="A32" t="s">
        <v>113</v>
      </c>
      <c r="B32" t="s">
        <v>30</v>
      </c>
      <c r="C32" t="s">
        <v>114</v>
      </c>
      <c r="D32" t="s">
        <v>59</v>
      </c>
      <c r="E32" t="s">
        <v>23</v>
      </c>
      <c r="F32">
        <v>2</v>
      </c>
      <c r="G32" t="s">
        <v>24</v>
      </c>
      <c r="H32" t="s">
        <v>43</v>
      </c>
      <c r="I32" t="s">
        <v>36</v>
      </c>
      <c r="J32" t="s">
        <v>47</v>
      </c>
      <c r="K32" s="1">
        <v>45728</v>
      </c>
      <c r="S32">
        <f>IF(Updated_Employee_Skill_Matrix_1[[#This Row],[Training_Completed]]="Yes",1,0)</f>
        <v>0</v>
      </c>
      <c r="T32" t="str">
        <f>IF(Updated_Employee_Skill_Matrix_1[[#This Row],[Certifications_Earned]]="None","No","Yes")</f>
        <v>No</v>
      </c>
      <c r="U32" t="str">
        <f>IF(Updated_Employee_Skill_Matrix_1[[#This Row],[Skill_Level]]&lt;=2,"Yes","No")</f>
        <v>Yes</v>
      </c>
    </row>
    <row r="33" spans="1:21" x14ac:dyDescent="0.25">
      <c r="A33" t="s">
        <v>115</v>
      </c>
      <c r="B33" t="s">
        <v>20</v>
      </c>
      <c r="C33" t="s">
        <v>116</v>
      </c>
      <c r="D33" t="s">
        <v>75</v>
      </c>
      <c r="E33" t="s">
        <v>23</v>
      </c>
      <c r="F33">
        <v>3</v>
      </c>
      <c r="G33" t="s">
        <v>34</v>
      </c>
      <c r="H33" t="s">
        <v>82</v>
      </c>
      <c r="I33" t="s">
        <v>36</v>
      </c>
      <c r="J33" t="s">
        <v>37</v>
      </c>
      <c r="K33" s="1">
        <v>45769</v>
      </c>
      <c r="S33">
        <f>IF(Updated_Employee_Skill_Matrix_1[[#This Row],[Training_Completed]]="Yes",1,0)</f>
        <v>1</v>
      </c>
      <c r="T33" t="str">
        <f>IF(Updated_Employee_Skill_Matrix_1[[#This Row],[Certifications_Earned]]="None","No","Yes")</f>
        <v>Yes</v>
      </c>
      <c r="U33" t="str">
        <f>IF(Updated_Employee_Skill_Matrix_1[[#This Row],[Skill_Level]]&lt;=2,"Yes","No")</f>
        <v>No</v>
      </c>
    </row>
    <row r="34" spans="1:21" x14ac:dyDescent="0.25">
      <c r="A34" t="s">
        <v>117</v>
      </c>
      <c r="B34" t="s">
        <v>45</v>
      </c>
      <c r="C34" t="s">
        <v>118</v>
      </c>
      <c r="D34" t="s">
        <v>32</v>
      </c>
      <c r="E34" t="s">
        <v>23</v>
      </c>
      <c r="F34">
        <v>5</v>
      </c>
      <c r="G34" t="s">
        <v>24</v>
      </c>
      <c r="H34" t="s">
        <v>35</v>
      </c>
      <c r="I34" t="s">
        <v>36</v>
      </c>
      <c r="J34" t="s">
        <v>56</v>
      </c>
      <c r="K34" s="1">
        <v>45801</v>
      </c>
      <c r="S34">
        <f>IF(Updated_Employee_Skill_Matrix_1[[#This Row],[Training_Completed]]="Yes",1,0)</f>
        <v>0</v>
      </c>
      <c r="T34" t="str">
        <f>IF(Updated_Employee_Skill_Matrix_1[[#This Row],[Certifications_Earned]]="None","No","Yes")</f>
        <v>Yes</v>
      </c>
      <c r="U34" t="str">
        <f>IF(Updated_Employee_Skill_Matrix_1[[#This Row],[Skill_Level]]&lt;=2,"Yes","No")</f>
        <v>No</v>
      </c>
    </row>
    <row r="35" spans="1:21" x14ac:dyDescent="0.25">
      <c r="A35" t="s">
        <v>119</v>
      </c>
      <c r="B35" t="s">
        <v>77</v>
      </c>
      <c r="C35" t="s">
        <v>120</v>
      </c>
      <c r="D35" t="s">
        <v>75</v>
      </c>
      <c r="E35" t="s">
        <v>42</v>
      </c>
      <c r="F35">
        <v>4</v>
      </c>
      <c r="G35" t="s">
        <v>24</v>
      </c>
      <c r="H35" t="s">
        <v>43</v>
      </c>
      <c r="I35" t="s">
        <v>26</v>
      </c>
      <c r="J35" t="s">
        <v>47</v>
      </c>
      <c r="K35" s="1">
        <v>45740</v>
      </c>
      <c r="S35">
        <f>IF(Updated_Employee_Skill_Matrix_1[[#This Row],[Training_Completed]]="Yes",1,0)</f>
        <v>0</v>
      </c>
      <c r="T35" t="str">
        <f>IF(Updated_Employee_Skill_Matrix_1[[#This Row],[Certifications_Earned]]="None","No","Yes")</f>
        <v>No</v>
      </c>
      <c r="U35" t="str">
        <f>IF(Updated_Employee_Skill_Matrix_1[[#This Row],[Skill_Level]]&lt;=2,"Yes","No")</f>
        <v>No</v>
      </c>
    </row>
    <row r="36" spans="1:21" x14ac:dyDescent="0.25">
      <c r="A36" t="s">
        <v>121</v>
      </c>
      <c r="B36" t="s">
        <v>77</v>
      </c>
      <c r="C36" t="s">
        <v>122</v>
      </c>
      <c r="D36" t="s">
        <v>41</v>
      </c>
      <c r="E36" t="s">
        <v>123</v>
      </c>
      <c r="F36">
        <v>2</v>
      </c>
      <c r="G36" t="s">
        <v>24</v>
      </c>
      <c r="H36" t="s">
        <v>43</v>
      </c>
      <c r="I36" t="s">
        <v>26</v>
      </c>
      <c r="J36" t="s">
        <v>56</v>
      </c>
      <c r="K36" s="1">
        <v>45802</v>
      </c>
      <c r="S36">
        <f>IF(Updated_Employee_Skill_Matrix_1[[#This Row],[Training_Completed]]="Yes",1,0)</f>
        <v>0</v>
      </c>
      <c r="T36" t="str">
        <f>IF(Updated_Employee_Skill_Matrix_1[[#This Row],[Certifications_Earned]]="None","No","Yes")</f>
        <v>No</v>
      </c>
      <c r="U36" t="str">
        <f>IF(Updated_Employee_Skill_Matrix_1[[#This Row],[Skill_Level]]&lt;=2,"Yes","No")</f>
        <v>Yes</v>
      </c>
    </row>
    <row r="37" spans="1:21" x14ac:dyDescent="0.25">
      <c r="A37" t="s">
        <v>124</v>
      </c>
      <c r="B37" t="s">
        <v>45</v>
      </c>
      <c r="C37" t="s">
        <v>125</v>
      </c>
      <c r="D37" t="s">
        <v>59</v>
      </c>
      <c r="E37" t="s">
        <v>33</v>
      </c>
      <c r="F37">
        <v>5</v>
      </c>
      <c r="G37" t="s">
        <v>34</v>
      </c>
      <c r="H37" t="s">
        <v>67</v>
      </c>
      <c r="I37" t="s">
        <v>36</v>
      </c>
      <c r="J37" t="s">
        <v>47</v>
      </c>
      <c r="K37" s="1">
        <v>45795</v>
      </c>
      <c r="S37">
        <f>IF(Updated_Employee_Skill_Matrix_1[[#This Row],[Training_Completed]]="Yes",1,0)</f>
        <v>1</v>
      </c>
      <c r="T37" t="str">
        <f>IF(Updated_Employee_Skill_Matrix_1[[#This Row],[Certifications_Earned]]="None","No","Yes")</f>
        <v>Yes</v>
      </c>
      <c r="U37" t="str">
        <f>IF(Updated_Employee_Skill_Matrix_1[[#This Row],[Skill_Level]]&lt;=2,"Yes","No")</f>
        <v>No</v>
      </c>
    </row>
    <row r="38" spans="1:21" x14ac:dyDescent="0.25">
      <c r="A38" t="s">
        <v>126</v>
      </c>
      <c r="B38" t="s">
        <v>20</v>
      </c>
      <c r="C38" t="s">
        <v>127</v>
      </c>
      <c r="D38" t="s">
        <v>22</v>
      </c>
      <c r="E38" t="s">
        <v>53</v>
      </c>
      <c r="F38">
        <v>3</v>
      </c>
      <c r="G38" t="s">
        <v>34</v>
      </c>
      <c r="H38" t="s">
        <v>79</v>
      </c>
      <c r="I38" t="s">
        <v>18</v>
      </c>
      <c r="J38" t="s">
        <v>64</v>
      </c>
      <c r="K38" s="1">
        <v>45752</v>
      </c>
      <c r="S38">
        <f>IF(Updated_Employee_Skill_Matrix_1[[#This Row],[Training_Completed]]="Yes",1,0)</f>
        <v>1</v>
      </c>
      <c r="T38" t="str">
        <f>IF(Updated_Employee_Skill_Matrix_1[[#This Row],[Certifications_Earned]]="None","No","Yes")</f>
        <v>Yes</v>
      </c>
      <c r="U38" t="str">
        <f>IF(Updated_Employee_Skill_Matrix_1[[#This Row],[Skill_Level]]&lt;=2,"Yes","No")</f>
        <v>No</v>
      </c>
    </row>
    <row r="39" spans="1:21" x14ac:dyDescent="0.25">
      <c r="A39" t="s">
        <v>128</v>
      </c>
      <c r="B39" t="s">
        <v>62</v>
      </c>
      <c r="C39" t="s">
        <v>129</v>
      </c>
      <c r="D39" t="s">
        <v>59</v>
      </c>
      <c r="E39" t="s">
        <v>33</v>
      </c>
      <c r="F39">
        <v>5</v>
      </c>
      <c r="G39" t="s">
        <v>24</v>
      </c>
      <c r="H39" t="s">
        <v>35</v>
      </c>
      <c r="I39" t="s">
        <v>26</v>
      </c>
      <c r="J39" t="s">
        <v>37</v>
      </c>
      <c r="K39" s="1">
        <v>45745</v>
      </c>
      <c r="S39">
        <f>IF(Updated_Employee_Skill_Matrix_1[[#This Row],[Training_Completed]]="Yes",1,0)</f>
        <v>0</v>
      </c>
      <c r="T39" t="str">
        <f>IF(Updated_Employee_Skill_Matrix_1[[#This Row],[Certifications_Earned]]="None","No","Yes")</f>
        <v>Yes</v>
      </c>
      <c r="U39" t="str">
        <f>IF(Updated_Employee_Skill_Matrix_1[[#This Row],[Skill_Level]]&lt;=2,"Yes","No")</f>
        <v>No</v>
      </c>
    </row>
    <row r="40" spans="1:21" x14ac:dyDescent="0.25">
      <c r="A40" t="s">
        <v>130</v>
      </c>
      <c r="B40" t="s">
        <v>77</v>
      </c>
      <c r="C40" t="s">
        <v>131</v>
      </c>
      <c r="D40" t="s">
        <v>59</v>
      </c>
      <c r="E40" t="s">
        <v>42</v>
      </c>
      <c r="F40">
        <v>1</v>
      </c>
      <c r="G40" t="s">
        <v>24</v>
      </c>
      <c r="H40" t="s">
        <v>67</v>
      </c>
      <c r="I40" t="s">
        <v>26</v>
      </c>
      <c r="J40" t="s">
        <v>60</v>
      </c>
      <c r="K40" s="1">
        <v>45746</v>
      </c>
      <c r="S40">
        <f>IF(Updated_Employee_Skill_Matrix_1[[#This Row],[Training_Completed]]="Yes",1,0)</f>
        <v>0</v>
      </c>
      <c r="T40" t="str">
        <f>IF(Updated_Employee_Skill_Matrix_1[[#This Row],[Certifications_Earned]]="None","No","Yes")</f>
        <v>Yes</v>
      </c>
      <c r="U40" t="str">
        <f>IF(Updated_Employee_Skill_Matrix_1[[#This Row],[Skill_Level]]&lt;=2,"Yes","No")</f>
        <v>Yes</v>
      </c>
    </row>
    <row r="41" spans="1:21" x14ac:dyDescent="0.25">
      <c r="A41" t="s">
        <v>132</v>
      </c>
      <c r="B41" t="s">
        <v>45</v>
      </c>
      <c r="C41" t="s">
        <v>133</v>
      </c>
      <c r="D41" t="s">
        <v>41</v>
      </c>
      <c r="E41" t="s">
        <v>50</v>
      </c>
      <c r="F41">
        <v>2</v>
      </c>
      <c r="G41" t="s">
        <v>24</v>
      </c>
      <c r="H41" t="s">
        <v>25</v>
      </c>
      <c r="I41" t="s">
        <v>26</v>
      </c>
      <c r="J41" t="s">
        <v>27</v>
      </c>
      <c r="K41" s="1">
        <v>45767</v>
      </c>
      <c r="S41">
        <f>IF(Updated_Employee_Skill_Matrix_1[[#This Row],[Training_Completed]]="Yes",1,0)</f>
        <v>0</v>
      </c>
      <c r="T41" t="str">
        <f>IF(Updated_Employee_Skill_Matrix_1[[#This Row],[Certifications_Earned]]="None","No","Yes")</f>
        <v>Yes</v>
      </c>
      <c r="U41" t="str">
        <f>IF(Updated_Employee_Skill_Matrix_1[[#This Row],[Skill_Level]]&lt;=2,"Yes","No")</f>
        <v>Yes</v>
      </c>
    </row>
    <row r="42" spans="1:21" x14ac:dyDescent="0.25">
      <c r="A42" t="s">
        <v>134</v>
      </c>
      <c r="B42" t="s">
        <v>39</v>
      </c>
      <c r="C42" t="s">
        <v>135</v>
      </c>
      <c r="D42" t="s">
        <v>75</v>
      </c>
      <c r="E42" t="s">
        <v>33</v>
      </c>
      <c r="F42">
        <v>4</v>
      </c>
      <c r="G42" t="s">
        <v>24</v>
      </c>
      <c r="H42" t="s">
        <v>35</v>
      </c>
      <c r="I42" t="s">
        <v>72</v>
      </c>
      <c r="J42" t="s">
        <v>47</v>
      </c>
      <c r="K42" s="1">
        <v>45742</v>
      </c>
      <c r="S42">
        <f>IF(Updated_Employee_Skill_Matrix_1[[#This Row],[Training_Completed]]="Yes",1,0)</f>
        <v>0</v>
      </c>
      <c r="T42" t="str">
        <f>IF(Updated_Employee_Skill_Matrix_1[[#This Row],[Certifications_Earned]]="None","No","Yes")</f>
        <v>Yes</v>
      </c>
      <c r="U42" t="str">
        <f>IF(Updated_Employee_Skill_Matrix_1[[#This Row],[Skill_Level]]&lt;=2,"Yes","No")</f>
        <v>No</v>
      </c>
    </row>
    <row r="43" spans="1:21" x14ac:dyDescent="0.25">
      <c r="A43" t="s">
        <v>136</v>
      </c>
      <c r="B43" t="s">
        <v>45</v>
      </c>
      <c r="C43" t="s">
        <v>137</v>
      </c>
      <c r="D43" t="s">
        <v>32</v>
      </c>
      <c r="E43" t="s">
        <v>23</v>
      </c>
      <c r="F43">
        <v>1</v>
      </c>
      <c r="G43" t="s">
        <v>24</v>
      </c>
      <c r="H43" t="s">
        <v>67</v>
      </c>
      <c r="I43" t="s">
        <v>72</v>
      </c>
      <c r="J43" t="s">
        <v>27</v>
      </c>
      <c r="K43" s="1">
        <v>45729</v>
      </c>
      <c r="S43">
        <f>IF(Updated_Employee_Skill_Matrix_1[[#This Row],[Training_Completed]]="Yes",1,0)</f>
        <v>0</v>
      </c>
      <c r="T43" t="str">
        <f>IF(Updated_Employee_Skill_Matrix_1[[#This Row],[Certifications_Earned]]="None","No","Yes")</f>
        <v>Yes</v>
      </c>
      <c r="U43" t="str">
        <f>IF(Updated_Employee_Skill_Matrix_1[[#This Row],[Skill_Level]]&lt;=2,"Yes","No")</f>
        <v>Yes</v>
      </c>
    </row>
    <row r="44" spans="1:21" x14ac:dyDescent="0.25">
      <c r="A44" t="s">
        <v>138</v>
      </c>
      <c r="B44" t="s">
        <v>20</v>
      </c>
      <c r="C44" t="s">
        <v>139</v>
      </c>
      <c r="D44" t="s">
        <v>41</v>
      </c>
      <c r="E44" t="s">
        <v>53</v>
      </c>
      <c r="F44">
        <v>3</v>
      </c>
      <c r="G44" t="s">
        <v>34</v>
      </c>
      <c r="H44" t="s">
        <v>67</v>
      </c>
      <c r="I44" t="s">
        <v>26</v>
      </c>
      <c r="J44" t="s">
        <v>47</v>
      </c>
      <c r="K44" s="1">
        <v>45725</v>
      </c>
      <c r="S44">
        <f>IF(Updated_Employee_Skill_Matrix_1[[#This Row],[Training_Completed]]="Yes",1,0)</f>
        <v>1</v>
      </c>
      <c r="T44" t="str">
        <f>IF(Updated_Employee_Skill_Matrix_1[[#This Row],[Certifications_Earned]]="None","No","Yes")</f>
        <v>Yes</v>
      </c>
      <c r="U44" t="str">
        <f>IF(Updated_Employee_Skill_Matrix_1[[#This Row],[Skill_Level]]&lt;=2,"Yes","No")</f>
        <v>No</v>
      </c>
    </row>
    <row r="45" spans="1:21" x14ac:dyDescent="0.25">
      <c r="A45" t="s">
        <v>140</v>
      </c>
      <c r="B45" t="s">
        <v>45</v>
      </c>
      <c r="C45" t="s">
        <v>141</v>
      </c>
      <c r="D45" t="s">
        <v>75</v>
      </c>
      <c r="E45" t="s">
        <v>123</v>
      </c>
      <c r="F45">
        <v>4</v>
      </c>
      <c r="G45" t="s">
        <v>34</v>
      </c>
      <c r="H45" t="s">
        <v>35</v>
      </c>
      <c r="I45" t="s">
        <v>36</v>
      </c>
      <c r="J45" t="s">
        <v>56</v>
      </c>
      <c r="K45" s="1">
        <v>45787</v>
      </c>
      <c r="S45">
        <f>IF(Updated_Employee_Skill_Matrix_1[[#This Row],[Training_Completed]]="Yes",1,0)</f>
        <v>1</v>
      </c>
      <c r="T45" t="str">
        <f>IF(Updated_Employee_Skill_Matrix_1[[#This Row],[Certifications_Earned]]="None","No","Yes")</f>
        <v>Yes</v>
      </c>
      <c r="U45" t="str">
        <f>IF(Updated_Employee_Skill_Matrix_1[[#This Row],[Skill_Level]]&lt;=2,"Yes","No")</f>
        <v>No</v>
      </c>
    </row>
    <row r="46" spans="1:21" x14ac:dyDescent="0.25">
      <c r="A46" t="s">
        <v>142</v>
      </c>
      <c r="B46" t="s">
        <v>39</v>
      </c>
      <c r="C46" t="s">
        <v>143</v>
      </c>
      <c r="D46" t="s">
        <v>32</v>
      </c>
      <c r="E46" t="s">
        <v>33</v>
      </c>
      <c r="F46">
        <v>3</v>
      </c>
      <c r="G46" t="s">
        <v>24</v>
      </c>
      <c r="H46" t="s">
        <v>43</v>
      </c>
      <c r="I46" t="s">
        <v>72</v>
      </c>
      <c r="J46" t="s">
        <v>27</v>
      </c>
      <c r="K46" s="1">
        <v>45772</v>
      </c>
      <c r="S46">
        <f>IF(Updated_Employee_Skill_Matrix_1[[#This Row],[Training_Completed]]="Yes",1,0)</f>
        <v>0</v>
      </c>
      <c r="T46" t="str">
        <f>IF(Updated_Employee_Skill_Matrix_1[[#This Row],[Certifications_Earned]]="None","No","Yes")</f>
        <v>No</v>
      </c>
      <c r="U46" t="str">
        <f>IF(Updated_Employee_Skill_Matrix_1[[#This Row],[Skill_Level]]&lt;=2,"Yes","No")</f>
        <v>No</v>
      </c>
    </row>
    <row r="47" spans="1:21" x14ac:dyDescent="0.25">
      <c r="A47" t="s">
        <v>144</v>
      </c>
      <c r="B47" t="s">
        <v>62</v>
      </c>
      <c r="C47" t="s">
        <v>145</v>
      </c>
      <c r="D47" t="s">
        <v>75</v>
      </c>
      <c r="E47" t="s">
        <v>123</v>
      </c>
      <c r="F47">
        <v>3</v>
      </c>
      <c r="G47" t="s">
        <v>34</v>
      </c>
      <c r="H47" t="s">
        <v>67</v>
      </c>
      <c r="I47" t="s">
        <v>18</v>
      </c>
      <c r="J47" t="s">
        <v>64</v>
      </c>
      <c r="K47" s="1">
        <v>45745</v>
      </c>
      <c r="S47">
        <f>IF(Updated_Employee_Skill_Matrix_1[[#This Row],[Training_Completed]]="Yes",1,0)</f>
        <v>1</v>
      </c>
      <c r="T47" t="str">
        <f>IF(Updated_Employee_Skill_Matrix_1[[#This Row],[Certifications_Earned]]="None","No","Yes")</f>
        <v>Yes</v>
      </c>
      <c r="U47" t="str">
        <f>IF(Updated_Employee_Skill_Matrix_1[[#This Row],[Skill_Level]]&lt;=2,"Yes","No")</f>
        <v>No</v>
      </c>
    </row>
    <row r="48" spans="1:21" x14ac:dyDescent="0.25">
      <c r="A48" t="s">
        <v>146</v>
      </c>
      <c r="B48" t="s">
        <v>20</v>
      </c>
      <c r="C48" t="s">
        <v>147</v>
      </c>
      <c r="D48" t="s">
        <v>75</v>
      </c>
      <c r="E48" t="s">
        <v>33</v>
      </c>
      <c r="F48">
        <v>1</v>
      </c>
      <c r="G48" t="s">
        <v>34</v>
      </c>
      <c r="H48" t="s">
        <v>79</v>
      </c>
      <c r="I48" t="s">
        <v>26</v>
      </c>
      <c r="J48" t="s">
        <v>37</v>
      </c>
      <c r="K48" s="1">
        <v>45756</v>
      </c>
      <c r="S48">
        <f>IF(Updated_Employee_Skill_Matrix_1[[#This Row],[Training_Completed]]="Yes",1,0)</f>
        <v>1</v>
      </c>
      <c r="T48" t="str">
        <f>IF(Updated_Employee_Skill_Matrix_1[[#This Row],[Certifications_Earned]]="None","No","Yes")</f>
        <v>Yes</v>
      </c>
      <c r="U48" t="str">
        <f>IF(Updated_Employee_Skill_Matrix_1[[#This Row],[Skill_Level]]&lt;=2,"Yes","No")</f>
        <v>Yes</v>
      </c>
    </row>
    <row r="49" spans="1:21" x14ac:dyDescent="0.25">
      <c r="A49" t="s">
        <v>148</v>
      </c>
      <c r="B49" t="s">
        <v>45</v>
      </c>
      <c r="C49" t="s">
        <v>149</v>
      </c>
      <c r="D49" t="s">
        <v>75</v>
      </c>
      <c r="E49" t="s">
        <v>42</v>
      </c>
      <c r="F49">
        <v>3</v>
      </c>
      <c r="G49" t="s">
        <v>34</v>
      </c>
      <c r="H49" t="s">
        <v>82</v>
      </c>
      <c r="I49" t="s">
        <v>18</v>
      </c>
      <c r="J49" t="s">
        <v>56</v>
      </c>
      <c r="K49" s="1">
        <v>45746</v>
      </c>
      <c r="S49">
        <f>IF(Updated_Employee_Skill_Matrix_1[[#This Row],[Training_Completed]]="Yes",1,0)</f>
        <v>1</v>
      </c>
      <c r="T49" t="str">
        <f>IF(Updated_Employee_Skill_Matrix_1[[#This Row],[Certifications_Earned]]="None","No","Yes")</f>
        <v>Yes</v>
      </c>
      <c r="U49" t="str">
        <f>IF(Updated_Employee_Skill_Matrix_1[[#This Row],[Skill_Level]]&lt;=2,"Yes","No")</f>
        <v>No</v>
      </c>
    </row>
    <row r="50" spans="1:21" x14ac:dyDescent="0.25">
      <c r="A50" t="s">
        <v>150</v>
      </c>
      <c r="B50" t="s">
        <v>77</v>
      </c>
      <c r="C50" t="s">
        <v>151</v>
      </c>
      <c r="D50" t="s">
        <v>22</v>
      </c>
      <c r="E50" t="s">
        <v>53</v>
      </c>
      <c r="F50">
        <v>3</v>
      </c>
      <c r="G50" t="s">
        <v>34</v>
      </c>
      <c r="H50" t="s">
        <v>25</v>
      </c>
      <c r="I50" t="s">
        <v>26</v>
      </c>
      <c r="J50" t="s">
        <v>27</v>
      </c>
      <c r="K50" s="1">
        <v>45806</v>
      </c>
      <c r="S50">
        <f>IF(Updated_Employee_Skill_Matrix_1[[#This Row],[Training_Completed]]="Yes",1,0)</f>
        <v>1</v>
      </c>
      <c r="T50" t="str">
        <f>IF(Updated_Employee_Skill_Matrix_1[[#This Row],[Certifications_Earned]]="None","No","Yes")</f>
        <v>Yes</v>
      </c>
      <c r="U50" t="str">
        <f>IF(Updated_Employee_Skill_Matrix_1[[#This Row],[Skill_Level]]&lt;=2,"Yes","No")</f>
        <v>No</v>
      </c>
    </row>
    <row r="51" spans="1:21" x14ac:dyDescent="0.25">
      <c r="A51" t="s">
        <v>152</v>
      </c>
      <c r="B51" t="s">
        <v>62</v>
      </c>
      <c r="C51" t="s">
        <v>153</v>
      </c>
      <c r="D51" t="s">
        <v>75</v>
      </c>
      <c r="E51" t="s">
        <v>50</v>
      </c>
      <c r="F51">
        <v>3</v>
      </c>
      <c r="G51" t="s">
        <v>34</v>
      </c>
      <c r="H51" t="s">
        <v>35</v>
      </c>
      <c r="I51" t="s">
        <v>36</v>
      </c>
      <c r="J51" t="s">
        <v>47</v>
      </c>
      <c r="K51" s="1">
        <v>45762</v>
      </c>
      <c r="S51">
        <f>IF(Updated_Employee_Skill_Matrix_1[[#This Row],[Training_Completed]]="Yes",1,0)</f>
        <v>1</v>
      </c>
      <c r="T51" t="str">
        <f>IF(Updated_Employee_Skill_Matrix_1[[#This Row],[Certifications_Earned]]="None","No","Yes")</f>
        <v>Yes</v>
      </c>
      <c r="U51" t="str">
        <f>IF(Updated_Employee_Skill_Matrix_1[[#This Row],[Skill_Level]]&lt;=2,"Yes","No")</f>
        <v>No</v>
      </c>
    </row>
    <row r="52" spans="1:21" x14ac:dyDescent="0.25">
      <c r="A52" t="s">
        <v>190</v>
      </c>
      <c r="B52" t="s">
        <v>62</v>
      </c>
      <c r="C52" t="s">
        <v>191</v>
      </c>
      <c r="D52" t="s">
        <v>192</v>
      </c>
      <c r="E52" t="s">
        <v>42</v>
      </c>
      <c r="F52">
        <v>3</v>
      </c>
      <c r="G52" t="s">
        <v>24</v>
      </c>
      <c r="H52" t="s">
        <v>193</v>
      </c>
      <c r="I52" t="s">
        <v>36</v>
      </c>
      <c r="J52" t="s">
        <v>28</v>
      </c>
      <c r="K52" s="1"/>
      <c r="Q52" t="s">
        <v>189</v>
      </c>
      <c r="R52" t="s">
        <v>189</v>
      </c>
      <c r="S52">
        <f>IF(Updated_Employee_Skill_Matrix_1[[#This Row],[Training_Completed]]="Yes",1,0)</f>
        <v>0</v>
      </c>
      <c r="T52" t="str">
        <f>IF(Updated_Employee_Skill_Matrix_1[[#This Row],[Certifications_Earned]]="None","No","Yes")</f>
        <v>No</v>
      </c>
      <c r="U52" t="str">
        <f>IF(Updated_Employee_Skill_Matrix_1[[#This Row],[Skill_Level]]&lt;=2,"Yes","No")</f>
        <v>No</v>
      </c>
    </row>
    <row r="53" spans="1:21" x14ac:dyDescent="0.25">
      <c r="A53" t="s">
        <v>194</v>
      </c>
      <c r="B53" t="s">
        <v>20</v>
      </c>
      <c r="C53" t="s">
        <v>195</v>
      </c>
      <c r="D53" t="s">
        <v>22</v>
      </c>
      <c r="E53" t="s">
        <v>50</v>
      </c>
      <c r="F53">
        <v>2</v>
      </c>
      <c r="G53" t="s">
        <v>24</v>
      </c>
      <c r="H53" t="s">
        <v>43</v>
      </c>
      <c r="I53" t="s">
        <v>28</v>
      </c>
      <c r="J53" t="s">
        <v>28</v>
      </c>
      <c r="K53" s="1">
        <v>45813</v>
      </c>
      <c r="Q53" t="s">
        <v>189</v>
      </c>
      <c r="R53" t="s">
        <v>189</v>
      </c>
      <c r="S53">
        <f>IF(Updated_Employee_Skill_Matrix_1[[#This Row],[Training_Completed]]="Yes",1,0)</f>
        <v>0</v>
      </c>
      <c r="T53" t="str">
        <f>IF(Updated_Employee_Skill_Matrix_1[[#This Row],[Certifications_Earned]]="None","No","Yes")</f>
        <v>No</v>
      </c>
      <c r="U53" t="str">
        <f>IF(Updated_Employee_Skill_Matrix_1[[#This Row],[Skill_Level]]&lt;=2,"Yes","No")</f>
        <v>Yes</v>
      </c>
    </row>
    <row r="54" spans="1:21" x14ac:dyDescent="0.25">
      <c r="A54" t="s">
        <v>196</v>
      </c>
      <c r="B54" t="s">
        <v>20</v>
      </c>
      <c r="C54" t="s">
        <v>197</v>
      </c>
      <c r="D54" t="s">
        <v>22</v>
      </c>
      <c r="E54" t="s">
        <v>23</v>
      </c>
      <c r="F54">
        <v>2</v>
      </c>
      <c r="G54" t="s">
        <v>24</v>
      </c>
      <c r="H54" t="s">
        <v>35</v>
      </c>
      <c r="I54" t="s">
        <v>72</v>
      </c>
      <c r="J54" t="s">
        <v>28</v>
      </c>
      <c r="K54" s="1">
        <v>45813</v>
      </c>
      <c r="Q54" t="s">
        <v>189</v>
      </c>
      <c r="R54" t="s">
        <v>189</v>
      </c>
      <c r="S54">
        <f>IF(Updated_Employee_Skill_Matrix_1[[#This Row],[Training_Completed]]="Yes",1,0)</f>
        <v>0</v>
      </c>
      <c r="T54" t="str">
        <f>IF(Updated_Employee_Skill_Matrix_1[[#This Row],[Certifications_Earned]]="None","No","Yes")</f>
        <v>Yes</v>
      </c>
      <c r="U54" t="str">
        <f>IF(Updated_Employee_Skill_Matrix_1[[#This Row],[Skill_Level]]&lt;=2,"Yes","No")</f>
        <v>Yes</v>
      </c>
    </row>
  </sheetData>
  <phoneticPr fontId="3" type="noConversion"/>
  <conditionalFormatting sqref="F2:F54">
    <cfRule type="expression" dxfId="0" priority="1">
      <formula>$F2&lt;=2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A7BFE-E3A9-4B97-87EB-1950264A3B71}">
  <dimension ref="B1:S11"/>
  <sheetViews>
    <sheetView topLeftCell="C1" zoomScale="83" workbookViewId="0">
      <selection activeCell="K44" sqref="I44:K45"/>
    </sheetView>
  </sheetViews>
  <sheetFormatPr defaultRowHeight="15" x14ac:dyDescent="0.25"/>
  <cols>
    <col min="2" max="2" width="18.85546875" bestFit="1" customWidth="1"/>
    <col min="3" max="8" width="13.28515625" bestFit="1" customWidth="1"/>
    <col min="9" max="9" width="10.5703125" bestFit="1" customWidth="1"/>
    <col min="12" max="12" width="30.5703125" customWidth="1"/>
    <col min="16" max="16" width="13.7109375" customWidth="1"/>
    <col min="19" max="19" width="14.5703125" customWidth="1"/>
  </cols>
  <sheetData>
    <row r="1" spans="2:19" x14ac:dyDescent="0.25">
      <c r="C1" s="7" t="s">
        <v>163</v>
      </c>
    </row>
    <row r="3" spans="2:19" x14ac:dyDescent="0.25">
      <c r="B3" s="2" t="s">
        <v>164</v>
      </c>
      <c r="C3" s="2" t="s">
        <v>1</v>
      </c>
      <c r="L3" s="12" t="str" cm="1">
        <f t="array" ref="L3:R10">B3:H10</f>
        <v>Average of Skill_Level</v>
      </c>
      <c r="M3" s="12" t="str">
        <v>Department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/>
    </row>
    <row r="4" spans="2:19" x14ac:dyDescent="0.25">
      <c r="B4" s="2" t="s">
        <v>4</v>
      </c>
      <c r="C4" t="s">
        <v>39</v>
      </c>
      <c r="D4" t="s">
        <v>77</v>
      </c>
      <c r="E4" t="s">
        <v>30</v>
      </c>
      <c r="F4" t="s">
        <v>20</v>
      </c>
      <c r="G4" t="s">
        <v>45</v>
      </c>
      <c r="H4" t="s">
        <v>62</v>
      </c>
      <c r="I4" t="s">
        <v>155</v>
      </c>
      <c r="L4" s="12" t="str">
        <v>Skill_Name</v>
      </c>
      <c r="M4" s="12" t="str">
        <v>Engineering</v>
      </c>
      <c r="N4" s="12" t="str">
        <v>Finance</v>
      </c>
      <c r="O4" s="12" t="str">
        <v>HR</v>
      </c>
      <c r="P4" s="12" t="str">
        <v>IT</v>
      </c>
      <c r="Q4" s="12" t="str">
        <v>Marketing</v>
      </c>
      <c r="R4" s="12" t="str">
        <v>Sales</v>
      </c>
      <c r="S4" s="12" t="s">
        <v>159</v>
      </c>
    </row>
    <row r="5" spans="2:19" x14ac:dyDescent="0.25">
      <c r="B5" t="s">
        <v>23</v>
      </c>
      <c r="E5" s="3">
        <v>3.25</v>
      </c>
      <c r="F5">
        <v>2.3333333333333335</v>
      </c>
      <c r="G5" s="3">
        <v>3.25</v>
      </c>
      <c r="H5">
        <v>2</v>
      </c>
      <c r="I5" s="3">
        <v>2.9166666666666665</v>
      </c>
      <c r="L5" s="12" t="str">
        <v>Data Analysis</v>
      </c>
      <c r="M5" s="13">
        <v>0</v>
      </c>
      <c r="N5" s="13">
        <v>0</v>
      </c>
      <c r="O5" s="13">
        <v>3.25</v>
      </c>
      <c r="P5" s="13">
        <v>2.3333333333333335</v>
      </c>
      <c r="Q5" s="13">
        <v>3.25</v>
      </c>
      <c r="R5" s="13">
        <v>2</v>
      </c>
      <c r="S5" s="13" t="e">
        <f>IF(L5=#REF!,#REF!,"")</f>
        <v>#REF!</v>
      </c>
    </row>
    <row r="6" spans="2:19" x14ac:dyDescent="0.25">
      <c r="B6" t="s">
        <v>50</v>
      </c>
      <c r="C6">
        <v>5</v>
      </c>
      <c r="D6" s="3">
        <v>3.5</v>
      </c>
      <c r="F6">
        <v>3.5</v>
      </c>
      <c r="G6" s="3">
        <v>2.6666666666666665</v>
      </c>
      <c r="H6">
        <v>3</v>
      </c>
      <c r="I6" s="3">
        <v>3.3333333333333335</v>
      </c>
      <c r="L6" s="12" t="str">
        <v>Excel</v>
      </c>
      <c r="M6" s="13">
        <v>5</v>
      </c>
      <c r="N6" s="13">
        <v>3.5</v>
      </c>
      <c r="O6" s="13">
        <v>0</v>
      </c>
      <c r="P6" s="13">
        <v>3.5</v>
      </c>
      <c r="Q6" s="13">
        <v>2.6666666666666665</v>
      </c>
      <c r="R6" s="13">
        <v>3</v>
      </c>
      <c r="S6" s="13" t="e">
        <f>IF(L6=#REF!,#REF!,"")</f>
        <v>#REF!</v>
      </c>
    </row>
    <row r="7" spans="2:19" x14ac:dyDescent="0.25">
      <c r="B7" t="s">
        <v>42</v>
      </c>
      <c r="C7">
        <v>5</v>
      </c>
      <c r="D7" s="3">
        <v>3.3333333333333335</v>
      </c>
      <c r="E7">
        <v>2</v>
      </c>
      <c r="F7">
        <v>2</v>
      </c>
      <c r="G7">
        <v>3</v>
      </c>
      <c r="H7">
        <v>3</v>
      </c>
      <c r="I7" s="3">
        <v>2.9</v>
      </c>
      <c r="L7" s="12" t="str">
        <v>Java</v>
      </c>
      <c r="M7" s="13">
        <v>5</v>
      </c>
      <c r="N7" s="13">
        <v>3.3333333333333335</v>
      </c>
      <c r="O7" s="13">
        <v>2</v>
      </c>
      <c r="P7" s="13">
        <v>2</v>
      </c>
      <c r="Q7" s="13">
        <v>3</v>
      </c>
      <c r="R7" s="13">
        <v>3</v>
      </c>
      <c r="S7" s="13" t="e">
        <f>IF(L7=#REF!,#REF!,"")</f>
        <v>#REF!</v>
      </c>
    </row>
    <row r="8" spans="2:19" x14ac:dyDescent="0.25">
      <c r="B8" t="s">
        <v>53</v>
      </c>
      <c r="C8" s="3">
        <v>4.333333333333333</v>
      </c>
      <c r="D8">
        <v>3</v>
      </c>
      <c r="F8">
        <v>3</v>
      </c>
      <c r="G8">
        <v>4</v>
      </c>
      <c r="H8">
        <v>3</v>
      </c>
      <c r="I8" s="3">
        <v>3.6666666666666665</v>
      </c>
      <c r="L8" s="12" t="str">
        <v>Leadership</v>
      </c>
      <c r="M8" s="13">
        <v>4.333333333333333</v>
      </c>
      <c r="N8" s="13">
        <v>3</v>
      </c>
      <c r="O8" s="13">
        <v>0</v>
      </c>
      <c r="P8" s="13">
        <v>3</v>
      </c>
      <c r="Q8" s="13">
        <v>4</v>
      </c>
      <c r="R8" s="13">
        <v>3</v>
      </c>
      <c r="S8" s="13" t="e">
        <f>IF(L8=#REF!,#REF!,"")</f>
        <v>#REF!</v>
      </c>
    </row>
    <row r="9" spans="2:19" x14ac:dyDescent="0.25">
      <c r="B9" t="s">
        <v>33</v>
      </c>
      <c r="C9" s="3">
        <v>2.5</v>
      </c>
      <c r="E9" s="3">
        <v>2.5</v>
      </c>
      <c r="F9">
        <v>1</v>
      </c>
      <c r="G9">
        <v>5</v>
      </c>
      <c r="H9" s="3">
        <v>4.5</v>
      </c>
      <c r="I9">
        <v>3</v>
      </c>
      <c r="L9" s="12" t="str">
        <v>Project Management</v>
      </c>
      <c r="M9" s="13">
        <v>2.5</v>
      </c>
      <c r="N9" s="13">
        <v>0</v>
      </c>
      <c r="O9" s="13">
        <v>2.5</v>
      </c>
      <c r="P9" s="13">
        <v>1</v>
      </c>
      <c r="Q9" s="13">
        <v>5</v>
      </c>
      <c r="R9" s="13">
        <v>4.5</v>
      </c>
      <c r="S9" s="13" t="e">
        <f>IF(L9=#REF!,#REF!,"")</f>
        <v>#REF!</v>
      </c>
    </row>
    <row r="10" spans="2:19" x14ac:dyDescent="0.25">
      <c r="B10" t="s">
        <v>123</v>
      </c>
      <c r="D10">
        <v>2</v>
      </c>
      <c r="F10" s="3"/>
      <c r="G10" s="3">
        <v>4</v>
      </c>
      <c r="H10" s="3">
        <v>3</v>
      </c>
      <c r="I10" s="3">
        <v>3</v>
      </c>
      <c r="L10" s="12" t="str">
        <v>Python</v>
      </c>
      <c r="M10" s="13">
        <v>0</v>
      </c>
      <c r="N10" s="13">
        <v>2</v>
      </c>
      <c r="O10" s="13">
        <v>0</v>
      </c>
      <c r="P10" s="13">
        <v>0</v>
      </c>
      <c r="Q10" s="13">
        <v>4</v>
      </c>
      <c r="R10" s="13">
        <v>3</v>
      </c>
      <c r="S10" s="13" t="e">
        <f>IF(L10=#REF!,#REF!,"")</f>
        <v>#REF!</v>
      </c>
    </row>
    <row r="11" spans="2:19" x14ac:dyDescent="0.25">
      <c r="B11" t="s">
        <v>155</v>
      </c>
      <c r="C11" s="3">
        <v>3.6666666666666665</v>
      </c>
      <c r="D11" s="3">
        <v>3.1428571428571428</v>
      </c>
      <c r="E11" s="3">
        <v>2.6666666666666665</v>
      </c>
      <c r="F11" s="3">
        <v>2.5555555555555554</v>
      </c>
      <c r="G11" s="3">
        <v>3.4166666666666665</v>
      </c>
      <c r="H11" s="3">
        <v>3.2857142857142856</v>
      </c>
      <c r="I11" s="3">
        <v>3.1320754716981134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33F0D-E8C8-451D-9711-3783A1D20F97}">
  <dimension ref="A1:AB22"/>
  <sheetViews>
    <sheetView tabSelected="1" topLeftCell="I1" zoomScale="105" workbookViewId="0">
      <selection activeCell="Z5" sqref="Z5"/>
    </sheetView>
  </sheetViews>
  <sheetFormatPr defaultRowHeight="15" x14ac:dyDescent="0.25"/>
  <cols>
    <col min="1" max="1" width="17.85546875" bestFit="1" customWidth="1"/>
    <col min="2" max="7" width="13.28515625" bestFit="1" customWidth="1"/>
    <col min="8" max="8" width="10.5703125" bestFit="1" customWidth="1"/>
    <col min="9" max="9" width="12.42578125" bestFit="1" customWidth="1"/>
    <col min="10" max="10" width="18.5703125" bestFit="1" customWidth="1"/>
    <col min="20" max="20" width="17.7109375" bestFit="1" customWidth="1"/>
    <col min="21" max="21" width="13.28515625" bestFit="1" customWidth="1"/>
    <col min="23" max="23" width="13.28515625" customWidth="1"/>
    <col min="24" max="24" width="15.5703125" customWidth="1"/>
    <col min="27" max="27" width="23.7109375" customWidth="1"/>
  </cols>
  <sheetData>
    <row r="1" spans="1:26" x14ac:dyDescent="0.25">
      <c r="A1" s="2" t="s">
        <v>154</v>
      </c>
      <c r="B1" s="2" t="s">
        <v>1</v>
      </c>
      <c r="J1" s="13" t="str" cm="1">
        <f t="array" ref="J1:P7">A2:G8</f>
        <v>Skill_Name</v>
      </c>
      <c r="K1" s="13" t="str">
        <v>Engineering</v>
      </c>
      <c r="L1" s="13" t="str">
        <v>Finance</v>
      </c>
      <c r="M1" s="13" t="str">
        <v>HR</v>
      </c>
      <c r="N1" s="13" t="str">
        <v>IT</v>
      </c>
      <c r="O1" s="13" t="str">
        <v>Marketing</v>
      </c>
      <c r="P1" s="13" t="str">
        <v>Sales</v>
      </c>
    </row>
    <row r="2" spans="1:26" x14ac:dyDescent="0.25">
      <c r="A2" s="2" t="s">
        <v>4</v>
      </c>
      <c r="B2" t="s">
        <v>39</v>
      </c>
      <c r="C2" t="s">
        <v>77</v>
      </c>
      <c r="D2" t="s">
        <v>30</v>
      </c>
      <c r="E2" t="s">
        <v>20</v>
      </c>
      <c r="F2" t="s">
        <v>45</v>
      </c>
      <c r="G2" t="s">
        <v>62</v>
      </c>
      <c r="H2" t="s">
        <v>155</v>
      </c>
      <c r="J2" s="13" t="str">
        <v>Data Analysis</v>
      </c>
      <c r="K2" s="13">
        <v>0</v>
      </c>
      <c r="L2" s="13">
        <v>0</v>
      </c>
      <c r="M2" s="13">
        <v>4</v>
      </c>
      <c r="N2" s="13">
        <v>3</v>
      </c>
      <c r="O2" s="13">
        <v>4</v>
      </c>
      <c r="P2" s="13">
        <v>1</v>
      </c>
      <c r="T2" s="4" t="s">
        <v>156</v>
      </c>
    </row>
    <row r="3" spans="1:26" x14ac:dyDescent="0.25">
      <c r="A3" t="s">
        <v>23</v>
      </c>
      <c r="D3">
        <v>4</v>
      </c>
      <c r="E3">
        <v>3</v>
      </c>
      <c r="F3">
        <v>4</v>
      </c>
      <c r="G3">
        <v>1</v>
      </c>
      <c r="H3">
        <v>12</v>
      </c>
      <c r="J3" s="13" t="str">
        <v>Excel</v>
      </c>
      <c r="K3" s="13">
        <v>1</v>
      </c>
      <c r="L3" s="13">
        <v>2</v>
      </c>
      <c r="M3" s="13">
        <v>0</v>
      </c>
      <c r="N3" s="13">
        <v>2</v>
      </c>
      <c r="O3" s="13">
        <v>3</v>
      </c>
      <c r="P3" s="13">
        <v>1</v>
      </c>
    </row>
    <row r="4" spans="1:26" x14ac:dyDescent="0.25">
      <c r="A4" t="s">
        <v>50</v>
      </c>
      <c r="B4">
        <v>1</v>
      </c>
      <c r="C4">
        <v>2</v>
      </c>
      <c r="E4">
        <v>2</v>
      </c>
      <c r="F4">
        <v>3</v>
      </c>
      <c r="G4">
        <v>1</v>
      </c>
      <c r="H4">
        <v>9</v>
      </c>
      <c r="J4" s="13" t="str">
        <v>Java</v>
      </c>
      <c r="K4" s="13">
        <v>1</v>
      </c>
      <c r="L4" s="13">
        <v>3</v>
      </c>
      <c r="M4" s="13">
        <v>3</v>
      </c>
      <c r="N4" s="13">
        <v>1</v>
      </c>
      <c r="O4" s="13">
        <v>1</v>
      </c>
      <c r="P4" s="13">
        <v>1</v>
      </c>
      <c r="T4" s="2" t="s">
        <v>4</v>
      </c>
      <c r="U4" t="s">
        <v>157</v>
      </c>
      <c r="W4" s="13" t="str" cm="1">
        <f t="array" ref="W4:X10">T4:U10</f>
        <v>Skill_Name</v>
      </c>
      <c r="X4" s="13" t="str">
        <v>Count of Name</v>
      </c>
      <c r="Y4" s="13" t="s">
        <v>158</v>
      </c>
      <c r="Z4" s="13" t="s">
        <v>159</v>
      </c>
    </row>
    <row r="5" spans="1:26" x14ac:dyDescent="0.25">
      <c r="A5" t="s">
        <v>42</v>
      </c>
      <c r="B5">
        <v>1</v>
      </c>
      <c r="C5">
        <v>3</v>
      </c>
      <c r="D5">
        <v>3</v>
      </c>
      <c r="E5">
        <v>1</v>
      </c>
      <c r="F5">
        <v>1</v>
      </c>
      <c r="G5">
        <v>1</v>
      </c>
      <c r="H5">
        <v>10</v>
      </c>
      <c r="J5" s="13" t="str">
        <v>Leadership</v>
      </c>
      <c r="K5" s="13">
        <v>3</v>
      </c>
      <c r="L5" s="13">
        <v>1</v>
      </c>
      <c r="M5" s="13">
        <v>0</v>
      </c>
      <c r="N5" s="13">
        <v>2</v>
      </c>
      <c r="O5" s="13">
        <v>2</v>
      </c>
      <c r="P5" s="13">
        <v>1</v>
      </c>
      <c r="T5" t="s">
        <v>23</v>
      </c>
      <c r="U5">
        <v>12</v>
      </c>
      <c r="W5" s="13" t="str">
        <v>Data Analysis</v>
      </c>
      <c r="X5" s="13">
        <v>12</v>
      </c>
      <c r="Y5" s="13" cm="1">
        <f t="array" ref="Y5:Y7">X5:X7</f>
        <v>12</v>
      </c>
      <c r="Z5" s="13">
        <f>IF(W5=$AB$19,$AB$20,"")</f>
        <v>12</v>
      </c>
    </row>
    <row r="6" spans="1:26" x14ac:dyDescent="0.25">
      <c r="A6" t="s">
        <v>53</v>
      </c>
      <c r="B6">
        <v>3</v>
      </c>
      <c r="C6">
        <v>1</v>
      </c>
      <c r="E6">
        <v>2</v>
      </c>
      <c r="F6">
        <v>2</v>
      </c>
      <c r="G6">
        <v>1</v>
      </c>
      <c r="H6">
        <v>9</v>
      </c>
      <c r="J6" s="13" t="str">
        <v>Project Management</v>
      </c>
      <c r="K6" s="13">
        <v>4</v>
      </c>
      <c r="L6" s="13">
        <v>0</v>
      </c>
      <c r="M6" s="13">
        <v>2</v>
      </c>
      <c r="N6" s="13">
        <v>1</v>
      </c>
      <c r="O6" s="13">
        <v>1</v>
      </c>
      <c r="P6" s="13">
        <v>2</v>
      </c>
      <c r="T6" t="s">
        <v>33</v>
      </c>
      <c r="U6">
        <v>10</v>
      </c>
      <c r="W6" s="13" t="str">
        <v>Project Management</v>
      </c>
      <c r="X6" s="13">
        <v>10</v>
      </c>
      <c r="Y6" s="13">
        <v>10</v>
      </c>
      <c r="Z6" s="13" t="str">
        <f t="shared" ref="Z6:Z10" si="0">IF(W6=$AB$19,$AB$20,"")</f>
        <v/>
      </c>
    </row>
    <row r="7" spans="1:26" x14ac:dyDescent="0.25">
      <c r="A7" t="s">
        <v>33</v>
      </c>
      <c r="B7">
        <v>4</v>
      </c>
      <c r="D7">
        <v>2</v>
      </c>
      <c r="E7">
        <v>1</v>
      </c>
      <c r="F7">
        <v>1</v>
      </c>
      <c r="G7">
        <v>2</v>
      </c>
      <c r="H7">
        <v>10</v>
      </c>
      <c r="J7" s="13" t="str">
        <v>Python</v>
      </c>
      <c r="K7" s="13">
        <v>0</v>
      </c>
      <c r="L7" s="13">
        <v>1</v>
      </c>
      <c r="M7" s="13">
        <v>0</v>
      </c>
      <c r="N7" s="13">
        <v>0</v>
      </c>
      <c r="O7" s="13">
        <v>1</v>
      </c>
      <c r="P7" s="13">
        <v>1</v>
      </c>
      <c r="T7" t="s">
        <v>42</v>
      </c>
      <c r="U7">
        <v>10</v>
      </c>
      <c r="W7" s="13" t="str">
        <v>Java</v>
      </c>
      <c r="X7" s="13">
        <v>10</v>
      </c>
      <c r="Y7" s="13">
        <v>10</v>
      </c>
      <c r="Z7" s="13" t="str">
        <f t="shared" si="0"/>
        <v/>
      </c>
    </row>
    <row r="8" spans="1:26" x14ac:dyDescent="0.25">
      <c r="A8" t="s">
        <v>123</v>
      </c>
      <c r="C8">
        <v>1</v>
      </c>
      <c r="F8">
        <v>1</v>
      </c>
      <c r="G8">
        <v>1</v>
      </c>
      <c r="H8">
        <v>3</v>
      </c>
      <c r="T8" t="s">
        <v>53</v>
      </c>
      <c r="U8">
        <v>9</v>
      </c>
      <c r="W8" s="13" t="str">
        <v>Leadership</v>
      </c>
      <c r="X8" s="13">
        <v>9</v>
      </c>
      <c r="Y8" s="13"/>
      <c r="Z8" s="13" t="str">
        <f t="shared" si="0"/>
        <v/>
      </c>
    </row>
    <row r="9" spans="1:26" x14ac:dyDescent="0.25">
      <c r="A9" t="s">
        <v>155</v>
      </c>
      <c r="B9">
        <v>9</v>
      </c>
      <c r="C9">
        <v>7</v>
      </c>
      <c r="D9">
        <v>9</v>
      </c>
      <c r="E9">
        <v>9</v>
      </c>
      <c r="F9">
        <v>12</v>
      </c>
      <c r="G9">
        <v>7</v>
      </c>
      <c r="H9">
        <v>53</v>
      </c>
      <c r="T9" t="s">
        <v>50</v>
      </c>
      <c r="U9">
        <v>9</v>
      </c>
      <c r="W9" s="13" t="str">
        <v>Excel</v>
      </c>
      <c r="X9" s="13">
        <v>9</v>
      </c>
      <c r="Y9" s="13"/>
      <c r="Z9" s="13" t="str">
        <f t="shared" si="0"/>
        <v/>
      </c>
    </row>
    <row r="10" spans="1:26" x14ac:dyDescent="0.25">
      <c r="T10" t="s">
        <v>123</v>
      </c>
      <c r="U10">
        <v>3</v>
      </c>
      <c r="W10" s="13" t="str">
        <v>Python</v>
      </c>
      <c r="X10" s="13">
        <v>3</v>
      </c>
      <c r="Y10" s="13"/>
      <c r="Z10" s="13" t="str">
        <f t="shared" si="0"/>
        <v/>
      </c>
    </row>
    <row r="11" spans="1:26" x14ac:dyDescent="0.25">
      <c r="T11" t="s">
        <v>155</v>
      </c>
      <c r="U11">
        <v>53</v>
      </c>
    </row>
    <row r="15" spans="1:26" x14ac:dyDescent="0.25">
      <c r="I15" s="2" t="s">
        <v>187</v>
      </c>
      <c r="J15" t="s">
        <v>188</v>
      </c>
      <c r="L15" s="13" t="str" cm="1">
        <f t="array" ref="L15:M21">I15:J21</f>
        <v>Row Labels</v>
      </c>
      <c r="M15" s="13" t="str">
        <v>Count of Department</v>
      </c>
    </row>
    <row r="16" spans="1:26" x14ac:dyDescent="0.25">
      <c r="I16" s="10" t="s">
        <v>39</v>
      </c>
      <c r="J16">
        <v>9</v>
      </c>
      <c r="L16" s="13" t="str">
        <v>Engineering</v>
      </c>
      <c r="M16" s="13">
        <v>9</v>
      </c>
    </row>
    <row r="17" spans="9:28" x14ac:dyDescent="0.25">
      <c r="I17" s="10" t="s">
        <v>77</v>
      </c>
      <c r="J17">
        <v>7</v>
      </c>
      <c r="L17" s="13" t="str">
        <v>Finance</v>
      </c>
      <c r="M17" s="13">
        <v>7</v>
      </c>
      <c r="AA17" s="12" t="s">
        <v>160</v>
      </c>
      <c r="AB17" s="13"/>
    </row>
    <row r="18" spans="9:28" x14ac:dyDescent="0.25">
      <c r="I18" s="10" t="s">
        <v>30</v>
      </c>
      <c r="J18">
        <v>9</v>
      </c>
      <c r="L18" s="13" t="str">
        <v>HR</v>
      </c>
      <c r="M18" s="13">
        <v>9</v>
      </c>
      <c r="AA18" s="13" t="s">
        <v>161</v>
      </c>
      <c r="AB18" s="13">
        <v>1</v>
      </c>
    </row>
    <row r="19" spans="9:28" x14ac:dyDescent="0.25">
      <c r="I19" s="10" t="s">
        <v>20</v>
      </c>
      <c r="J19">
        <v>9</v>
      </c>
      <c r="L19" s="13" t="str">
        <v>IT</v>
      </c>
      <c r="M19" s="13">
        <v>9</v>
      </c>
      <c r="AA19" s="13" t="s">
        <v>0</v>
      </c>
      <c r="AB19" s="13" t="str" cm="1">
        <f t="array" ref="AB19">INDEX(W5:W10,AB18)</f>
        <v>Data Analysis</v>
      </c>
    </row>
    <row r="20" spans="9:28" x14ac:dyDescent="0.25">
      <c r="I20" s="10" t="s">
        <v>45</v>
      </c>
      <c r="J20">
        <v>12</v>
      </c>
      <c r="L20" s="13" t="str">
        <v>Marketing</v>
      </c>
      <c r="M20" s="13">
        <v>12</v>
      </c>
      <c r="AA20" s="13" t="s">
        <v>162</v>
      </c>
      <c r="AB20" s="13" cm="1">
        <f t="array" ref="AB20">INDEX(X5:X10,AB18)</f>
        <v>12</v>
      </c>
    </row>
    <row r="21" spans="9:28" x14ac:dyDescent="0.25">
      <c r="I21" s="10" t="s">
        <v>62</v>
      </c>
      <c r="J21">
        <v>7</v>
      </c>
      <c r="L21" s="13" t="str">
        <v>Sales</v>
      </c>
      <c r="M21" s="13">
        <v>7</v>
      </c>
    </row>
    <row r="22" spans="9:28" x14ac:dyDescent="0.25">
      <c r="I22" s="10" t="s">
        <v>155</v>
      </c>
      <c r="J22">
        <v>53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F7B5-226F-437B-8C37-8578B17B6E6D}">
  <dimension ref="B1:M23"/>
  <sheetViews>
    <sheetView zoomScale="83" workbookViewId="0">
      <selection activeCell="K17" sqref="K17"/>
    </sheetView>
  </sheetViews>
  <sheetFormatPr defaultRowHeight="15" x14ac:dyDescent="0.25"/>
  <cols>
    <col min="2" max="2" width="13.28515625" bestFit="1" customWidth="1"/>
    <col min="3" max="3" width="15.140625" bestFit="1" customWidth="1"/>
    <col min="4" max="4" width="25.7109375" bestFit="1" customWidth="1"/>
    <col min="5" max="5" width="27.28515625" bestFit="1" customWidth="1"/>
    <col min="6" max="6" width="13.5703125" customWidth="1"/>
    <col min="7" max="7" width="27.140625" customWidth="1"/>
    <col min="8" max="8" width="30.5703125" customWidth="1"/>
    <col min="9" max="9" width="26.85546875" customWidth="1"/>
    <col min="10" max="10" width="9.42578125" customWidth="1"/>
    <col min="11" max="11" width="22" customWidth="1"/>
    <col min="12" max="12" width="38.7109375" customWidth="1"/>
    <col min="13" max="13" width="15.140625" customWidth="1"/>
    <col min="14" max="14" width="7.42578125" customWidth="1"/>
  </cols>
  <sheetData>
    <row r="1" spans="2:11" x14ac:dyDescent="0.25">
      <c r="C1" t="s">
        <v>165</v>
      </c>
    </row>
    <row r="4" spans="2:11" x14ac:dyDescent="0.25">
      <c r="B4" s="2" t="s">
        <v>0</v>
      </c>
      <c r="C4" t="s">
        <v>166</v>
      </c>
      <c r="F4" s="4"/>
      <c r="G4" s="4"/>
    </row>
    <row r="6" spans="2:11" x14ac:dyDescent="0.25">
      <c r="B6" s="2" t="s">
        <v>1</v>
      </c>
      <c r="C6" t="s">
        <v>167</v>
      </c>
      <c r="D6" t="s">
        <v>168</v>
      </c>
      <c r="E6" t="s">
        <v>169</v>
      </c>
      <c r="F6" s="4"/>
      <c r="G6" s="12" t="str" cm="1">
        <f t="array" ref="G6:I12">B6:D12</f>
        <v>Department</v>
      </c>
      <c r="H6" s="12" t="str">
        <v>Count of Trainee</v>
      </c>
      <c r="I6" s="12" t="str">
        <v>Count of Training Completed</v>
      </c>
      <c r="J6" s="12"/>
      <c r="K6" s="12" t="s">
        <v>170</v>
      </c>
    </row>
    <row r="7" spans="2:11" x14ac:dyDescent="0.25">
      <c r="B7" t="s">
        <v>45</v>
      </c>
      <c r="C7">
        <v>12</v>
      </c>
      <c r="D7">
        <v>7</v>
      </c>
      <c r="E7" s="5">
        <v>0.58333333333333337</v>
      </c>
      <c r="G7" s="13" t="str">
        <v>Marketing</v>
      </c>
      <c r="H7" s="14">
        <v>12</v>
      </c>
      <c r="I7" s="13">
        <v>7</v>
      </c>
      <c r="J7" s="13"/>
      <c r="K7" s="13" t="str">
        <f>IF(G7=$H$22,$H$23,"")</f>
        <v/>
      </c>
    </row>
    <row r="8" spans="2:11" x14ac:dyDescent="0.25">
      <c r="B8" t="s">
        <v>20</v>
      </c>
      <c r="C8">
        <v>9</v>
      </c>
      <c r="D8">
        <v>6</v>
      </c>
      <c r="E8" s="5">
        <v>0.66666666666666663</v>
      </c>
      <c r="G8" s="13" t="str">
        <v>IT</v>
      </c>
      <c r="H8" s="14">
        <v>9</v>
      </c>
      <c r="I8" s="13">
        <v>6</v>
      </c>
      <c r="J8" s="13"/>
      <c r="K8" s="13" t="str">
        <f t="shared" ref="K8:K12" si="0">IF(G8=$H$22,$H$23,"")</f>
        <v/>
      </c>
    </row>
    <row r="9" spans="2:11" x14ac:dyDescent="0.25">
      <c r="B9" t="s">
        <v>39</v>
      </c>
      <c r="C9">
        <v>9</v>
      </c>
      <c r="D9">
        <v>4</v>
      </c>
      <c r="E9" s="5">
        <v>0.44444444444444442</v>
      </c>
      <c r="G9" s="13" t="str">
        <v>Engineering</v>
      </c>
      <c r="H9" s="14">
        <v>9</v>
      </c>
      <c r="I9" s="13">
        <v>4</v>
      </c>
      <c r="J9" s="13"/>
      <c r="K9" s="13" t="str">
        <f t="shared" si="0"/>
        <v/>
      </c>
    </row>
    <row r="10" spans="2:11" x14ac:dyDescent="0.25">
      <c r="B10" t="s">
        <v>77</v>
      </c>
      <c r="C10">
        <v>7</v>
      </c>
      <c r="D10">
        <v>4</v>
      </c>
      <c r="E10" s="5">
        <v>0.5714285714285714</v>
      </c>
      <c r="G10" s="13" t="str">
        <v>Finance</v>
      </c>
      <c r="H10" s="14">
        <v>7</v>
      </c>
      <c r="I10" s="13">
        <v>4</v>
      </c>
      <c r="J10" s="13"/>
      <c r="K10" s="13">
        <f t="shared" si="0"/>
        <v>4</v>
      </c>
    </row>
    <row r="11" spans="2:11" x14ac:dyDescent="0.25">
      <c r="B11" t="s">
        <v>30</v>
      </c>
      <c r="C11">
        <v>9</v>
      </c>
      <c r="D11">
        <v>4</v>
      </c>
      <c r="E11" s="5">
        <v>0.44444444444444442</v>
      </c>
      <c r="G11" s="13" t="str">
        <v>HR</v>
      </c>
      <c r="H11" s="14">
        <v>9</v>
      </c>
      <c r="I11" s="13">
        <v>4</v>
      </c>
      <c r="J11" s="13"/>
      <c r="K11" s="13" t="str">
        <f t="shared" si="0"/>
        <v/>
      </c>
    </row>
    <row r="12" spans="2:11" x14ac:dyDescent="0.25">
      <c r="B12" t="s">
        <v>62</v>
      </c>
      <c r="C12">
        <v>7</v>
      </c>
      <c r="D12">
        <v>3</v>
      </c>
      <c r="E12" s="5">
        <v>0.42857142857142855</v>
      </c>
      <c r="G12" s="13" t="str">
        <v>Sales</v>
      </c>
      <c r="H12" s="14">
        <v>7</v>
      </c>
      <c r="I12" s="13">
        <v>3</v>
      </c>
      <c r="J12" s="13"/>
      <c r="K12" s="13" t="str">
        <f t="shared" si="0"/>
        <v/>
      </c>
    </row>
    <row r="13" spans="2:11" x14ac:dyDescent="0.25">
      <c r="B13" t="s">
        <v>155</v>
      </c>
      <c r="C13">
        <v>53</v>
      </c>
      <c r="D13">
        <v>28</v>
      </c>
      <c r="E13" s="5">
        <v>0.52830188679245282</v>
      </c>
    </row>
    <row r="19" spans="7:13" x14ac:dyDescent="0.25">
      <c r="M19" s="11"/>
    </row>
    <row r="20" spans="7:13" x14ac:dyDescent="0.25">
      <c r="G20" s="4" t="s">
        <v>171</v>
      </c>
    </row>
    <row r="21" spans="7:13" x14ac:dyDescent="0.25">
      <c r="G21" t="s">
        <v>172</v>
      </c>
      <c r="H21" s="8">
        <v>4</v>
      </c>
    </row>
    <row r="22" spans="7:13" x14ac:dyDescent="0.25">
      <c r="G22" t="s">
        <v>173</v>
      </c>
      <c r="H22" s="8" t="str" cm="1">
        <f t="array" ref="H22">INDEX(G7:G12,H21)</f>
        <v>Finance</v>
      </c>
    </row>
    <row r="23" spans="7:13" x14ac:dyDescent="0.25">
      <c r="G23" t="s">
        <v>174</v>
      </c>
      <c r="H23" s="8" cm="1">
        <f t="array" ref="H23">INDEX(I7:I12,H21)</f>
        <v>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D017-2C0B-429E-9022-94005663BDD3}">
  <dimension ref="B3:H56"/>
  <sheetViews>
    <sheetView workbookViewId="0">
      <selection activeCell="C14" sqref="C14"/>
    </sheetView>
  </sheetViews>
  <sheetFormatPr defaultRowHeight="15" x14ac:dyDescent="0.25"/>
  <cols>
    <col min="2" max="2" width="17.7109375" bestFit="1" customWidth="1"/>
    <col min="3" max="3" width="22.85546875" bestFit="1" customWidth="1"/>
    <col min="6" max="6" width="21.5703125" customWidth="1"/>
    <col min="7" max="7" width="27.5703125" customWidth="1"/>
  </cols>
  <sheetData>
    <row r="3" spans="2:8" x14ac:dyDescent="0.25">
      <c r="B3" s="4" t="s">
        <v>175</v>
      </c>
    </row>
    <row r="5" spans="2:8" x14ac:dyDescent="0.25">
      <c r="B5" s="2" t="s">
        <v>6</v>
      </c>
      <c r="C5" t="s">
        <v>176</v>
      </c>
    </row>
    <row r="6" spans="2:8" x14ac:dyDescent="0.25">
      <c r="B6" t="s">
        <v>24</v>
      </c>
      <c r="C6">
        <v>25</v>
      </c>
    </row>
    <row r="7" spans="2:8" x14ac:dyDescent="0.25">
      <c r="B7" t="s">
        <v>34</v>
      </c>
      <c r="C7">
        <v>28</v>
      </c>
    </row>
    <row r="8" spans="2:8" x14ac:dyDescent="0.25">
      <c r="B8" t="s">
        <v>155</v>
      </c>
      <c r="C8">
        <v>53</v>
      </c>
    </row>
    <row r="14" spans="2:8" x14ac:dyDescent="0.25">
      <c r="B14" s="4" t="s">
        <v>178</v>
      </c>
    </row>
    <row r="16" spans="2:8" x14ac:dyDescent="0.25">
      <c r="B16" s="2" t="s">
        <v>177</v>
      </c>
      <c r="C16" t="s">
        <v>34</v>
      </c>
      <c r="F16" s="12" t="str" cm="1">
        <f t="array" ref="F16:G21">B18:C23</f>
        <v>Certifications_Earned</v>
      </c>
      <c r="G16" s="12" t="str">
        <v>Count of Employee</v>
      </c>
      <c r="H16" s="12" t="s">
        <v>186</v>
      </c>
    </row>
    <row r="17" spans="2:8" x14ac:dyDescent="0.25">
      <c r="F17" s="13" t="str">
        <v>AWS Certified</v>
      </c>
      <c r="G17" s="13">
        <v>11</v>
      </c>
      <c r="H17" s="15">
        <f>$G17/SUM($G$17:$G$21)</f>
        <v>0.28205128205128205</v>
      </c>
    </row>
    <row r="18" spans="2:8" x14ac:dyDescent="0.25">
      <c r="B18" s="2" t="s">
        <v>7</v>
      </c>
      <c r="C18" t="s">
        <v>179</v>
      </c>
      <c r="F18" s="13" t="str">
        <v>Google Data Analyst</v>
      </c>
      <c r="G18" s="13">
        <v>11</v>
      </c>
      <c r="H18" s="15">
        <f t="shared" ref="H18:H21" si="0">$G18/SUM($G$17:$G$21)</f>
        <v>0.28205128205128205</v>
      </c>
    </row>
    <row r="19" spans="2:8" x14ac:dyDescent="0.25">
      <c r="B19" t="s">
        <v>35</v>
      </c>
      <c r="C19">
        <v>11</v>
      </c>
      <c r="F19" s="13" t="str">
        <v>Scrum Master</v>
      </c>
      <c r="G19" s="13">
        <v>6</v>
      </c>
      <c r="H19" s="15">
        <f t="shared" si="0"/>
        <v>0.15384615384615385</v>
      </c>
    </row>
    <row r="20" spans="2:8" x14ac:dyDescent="0.25">
      <c r="B20" t="s">
        <v>67</v>
      </c>
      <c r="C20">
        <v>11</v>
      </c>
      <c r="F20" s="13" t="str">
        <v>PMP</v>
      </c>
      <c r="G20" s="13">
        <v>6</v>
      </c>
      <c r="H20" s="15">
        <f t="shared" si="0"/>
        <v>0.15384615384615385</v>
      </c>
    </row>
    <row r="21" spans="2:8" x14ac:dyDescent="0.25">
      <c r="B21" t="s">
        <v>82</v>
      </c>
      <c r="C21">
        <v>6</v>
      </c>
      <c r="F21" s="13" t="str">
        <v>Six Sigma</v>
      </c>
      <c r="G21" s="13">
        <v>5</v>
      </c>
      <c r="H21" s="15">
        <f t="shared" si="0"/>
        <v>0.12820512820512819</v>
      </c>
    </row>
    <row r="22" spans="2:8" x14ac:dyDescent="0.25">
      <c r="B22" t="s">
        <v>79</v>
      </c>
      <c r="C22">
        <v>6</v>
      </c>
    </row>
    <row r="23" spans="2:8" x14ac:dyDescent="0.25">
      <c r="B23" t="s">
        <v>25</v>
      </c>
      <c r="C23">
        <v>5</v>
      </c>
    </row>
    <row r="24" spans="2:8" x14ac:dyDescent="0.25">
      <c r="B24" t="s">
        <v>155</v>
      </c>
      <c r="C24">
        <v>39</v>
      </c>
    </row>
    <row r="30" spans="2:8" x14ac:dyDescent="0.25">
      <c r="B30" s="4" t="s">
        <v>180</v>
      </c>
    </row>
    <row r="32" spans="2:8" x14ac:dyDescent="0.25">
      <c r="B32" s="2" t="s">
        <v>177</v>
      </c>
      <c r="C32" t="s">
        <v>181</v>
      </c>
      <c r="F32" s="12" t="str" cm="1">
        <f t="array" ref="F32:G34">B32:C34</f>
        <v>Certification Earned</v>
      </c>
      <c r="G32" s="12" t="str">
        <v>Count of Certification Earned</v>
      </c>
      <c r="H32" s="12" t="s">
        <v>182</v>
      </c>
    </row>
    <row r="33" spans="2:8" x14ac:dyDescent="0.25">
      <c r="B33" t="s">
        <v>24</v>
      </c>
      <c r="C33">
        <v>14</v>
      </c>
      <c r="F33" s="13" t="str">
        <v>No</v>
      </c>
      <c r="G33" s="13">
        <v>14</v>
      </c>
      <c r="H33" s="15">
        <f>G33/SUM(G33:G34)</f>
        <v>0.26415094339622641</v>
      </c>
    </row>
    <row r="34" spans="2:8" x14ac:dyDescent="0.25">
      <c r="B34" t="s">
        <v>34</v>
      </c>
      <c r="C34">
        <v>39</v>
      </c>
      <c r="F34" s="13" t="str">
        <v>Yes</v>
      </c>
      <c r="G34" s="13">
        <v>39</v>
      </c>
      <c r="H34" s="15">
        <f>G34/SUM(G33:G34)</f>
        <v>0.73584905660377353</v>
      </c>
    </row>
    <row r="35" spans="2:8" x14ac:dyDescent="0.25">
      <c r="B35" t="s">
        <v>155</v>
      </c>
      <c r="C35">
        <v>53</v>
      </c>
    </row>
    <row r="50" spans="2:8" x14ac:dyDescent="0.25">
      <c r="B50" s="4" t="s">
        <v>185</v>
      </c>
    </row>
    <row r="53" spans="2:8" x14ac:dyDescent="0.25">
      <c r="B53" s="2" t="s">
        <v>183</v>
      </c>
      <c r="C53" t="s">
        <v>184</v>
      </c>
      <c r="F53" s="4" t="str" cm="1">
        <f t="array" ref="F53:G55">B53:C55</f>
        <v>Training Required</v>
      </c>
      <c r="G53" s="4" t="str">
        <v>Count of Training Required</v>
      </c>
      <c r="H53" s="4" t="s">
        <v>182</v>
      </c>
    </row>
    <row r="54" spans="2:8" x14ac:dyDescent="0.25">
      <c r="B54" t="s">
        <v>24</v>
      </c>
      <c r="C54">
        <v>35</v>
      </c>
      <c r="F54" t="str">
        <v>No</v>
      </c>
      <c r="G54">
        <v>35</v>
      </c>
      <c r="H54" s="9">
        <f>G54/SUM(G54:G55)</f>
        <v>0.660377358490566</v>
      </c>
    </row>
    <row r="55" spans="2:8" x14ac:dyDescent="0.25">
      <c r="B55" t="s">
        <v>34</v>
      </c>
      <c r="C55">
        <v>18</v>
      </c>
      <c r="F55" t="str">
        <v>Yes</v>
      </c>
      <c r="G55">
        <v>18</v>
      </c>
      <c r="H55" s="9">
        <f>G55/SUM(G54:G55)</f>
        <v>0.33962264150943394</v>
      </c>
    </row>
    <row r="56" spans="2:8" x14ac:dyDescent="0.25">
      <c r="B56" t="s">
        <v>155</v>
      </c>
      <c r="C56">
        <v>53</v>
      </c>
    </row>
  </sheetData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ABCC-973F-44B7-B7AC-AD6549ABCDAB}">
  <dimension ref="A1"/>
  <sheetViews>
    <sheetView showGridLines="0" showRowColHeaders="0" zoomScale="67" workbookViewId="0">
      <selection activeCell="AP13" sqref="AP13"/>
    </sheetView>
  </sheetViews>
  <sheetFormatPr defaultColWidth="9.140625" defaultRowHeight="15" x14ac:dyDescent="0.25"/>
  <cols>
    <col min="1" max="16384" width="9.140625" style="6"/>
  </cols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Drop Down 1">
              <controlPr defaultSize="0" autoLine="0" autoPict="0">
                <anchor moveWithCells="1">
                  <from>
                    <xdr:col>19</xdr:col>
                    <xdr:colOff>342900</xdr:colOff>
                    <xdr:row>1</xdr:row>
                    <xdr:rowOff>104775</xdr:rowOff>
                  </from>
                  <to>
                    <xdr:col>27</xdr:col>
                    <xdr:colOff>400050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Drop Down 2">
              <controlPr defaultSize="0" autoLine="0" autoPict="0">
                <anchor moveWithCells="1">
                  <from>
                    <xdr:col>30</xdr:col>
                    <xdr:colOff>104775</xdr:colOff>
                    <xdr:row>1</xdr:row>
                    <xdr:rowOff>133350</xdr:rowOff>
                  </from>
                  <to>
                    <xdr:col>38</xdr:col>
                    <xdr:colOff>161925</xdr:colOff>
                    <xdr:row>4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348574912814CA99240C6A4A73DEF" ma:contentTypeVersion="3" ma:contentTypeDescription="Create a new document." ma:contentTypeScope="" ma:versionID="ab396f96e1849150a87d9ef9a4000758">
  <xsd:schema xmlns:xsd="http://www.w3.org/2001/XMLSchema" xmlns:xs="http://www.w3.org/2001/XMLSchema" xmlns:p="http://schemas.microsoft.com/office/2006/metadata/properties" xmlns:ns2="ad8c9f6a-b33d-4251-9e00-65bbd812a018" targetNamespace="http://schemas.microsoft.com/office/2006/metadata/properties" ma:root="true" ma:fieldsID="8647369bd546fc5854735dff24b18991" ns2:_="">
    <xsd:import namespace="ad8c9f6a-b33d-4251-9e00-65bbd812a0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8c9f6a-b33d-4251-9e00-65bbd812a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9DD8C5-2ABF-4DD7-9890-4E6A2F6E0A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8c9f6a-b33d-4251-9e00-65bbd812a0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C45B6F-E24B-484C-BC71-378C360692B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E8F5D1C2-C9FF-4948-A124-9BCF18E8D7B3}">
  <ds:schemaRefs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ad8c9f6a-b33d-4251-9e00-65bbd812a018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7DF09FE3-4833-4D94-8476-559CFAC438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Updated_Employee_Skill_Matrix_1</vt:lpstr>
      <vt:lpstr>pivot_table_1</vt:lpstr>
      <vt:lpstr>Pivot_table</vt:lpstr>
      <vt:lpstr>pivot_table_2</vt:lpstr>
      <vt:lpstr>Pivot_table_3</vt:lpstr>
      <vt:lpstr>Dashboard_1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Adarsh Sah</dc:creator>
  <cp:keywords/>
  <dc:description/>
  <cp:lastModifiedBy>Adarsh Sah</cp:lastModifiedBy>
  <cp:revision/>
  <dcterms:created xsi:type="dcterms:W3CDTF">2025-06-04T10:47:04Z</dcterms:created>
  <dcterms:modified xsi:type="dcterms:W3CDTF">2025-07-02T15:19:32Z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0x010100023348574912814CA99240C6A4A73DEF</vt:lpwstr>
  </property>
</Properties>
</file>